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finesdoo.sharepoint.com/teams/MFG-B/Dokumenti v skupni rabi/Proizvodnja/Planiranje/Dnevni in tedenski plan/"/>
    </mc:Choice>
  </mc:AlternateContent>
  <xr:revisionPtr revIDLastSave="1504" documentId="13_ncr:1_{84BBAA9B-0668-41FB-B461-95805DA7C5BC}" xr6:coauthVersionLast="47" xr6:coauthVersionMax="47" xr10:uidLastSave="{83B29085-B58A-4599-85ED-F058EA95F2FD}"/>
  <bookViews>
    <workbookView xWindow="28680" yWindow="930" windowWidth="29040" windowHeight="15720" xr2:uid="{00000000-000D-0000-FFFF-FFFF00000000}"/>
  </bookViews>
  <sheets>
    <sheet name="Dnevni-tedenski plan" sheetId="2" r:id="rId1"/>
    <sheet name="Summary" sheetId="4" r:id="rId2"/>
    <sheet name="Breme" sheetId="5" r:id="rId3"/>
    <sheet name="Nastavitve" sheetId="1" r:id="rId4"/>
    <sheet name="Prikazovalne tabele" sheetId="3" r:id="rId5"/>
  </sheets>
  <definedNames>
    <definedName name="Baseurl">Nastavitve!$B$1</definedName>
    <definedName name="ExternalData_1" localSheetId="0" hidden="1">'Dnevni-tedenski plan'!$A$1:$X$118</definedName>
    <definedName name="Filepath">Nastavitve!$B$1</definedName>
    <definedName name="Slicer_Stauts">#N/A</definedName>
    <definedName name="weeks">Nastavitve!$B$3</definedName>
  </definedNames>
  <calcPr calcId="191029"/>
  <pivotCaches>
    <pivotCache cacheId="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si_normativi_739f6e80-9078-49a8-aec1-58700a089042" name="vsi_normativi" connection="Query - vsi_normativi"/>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5" l="1"/>
  <c r="D4" i="5"/>
  <c r="D5" i="5"/>
  <c r="D6" i="5"/>
  <c r="D2" i="5"/>
  <c r="M3" i="5"/>
  <c r="M4" i="5"/>
  <c r="M5" i="5"/>
  <c r="M6" i="5"/>
  <c r="L3" i="5"/>
  <c r="L4" i="5"/>
  <c r="L5" i="5"/>
  <c r="L6" i="5"/>
  <c r="K3" i="5"/>
  <c r="K4" i="5"/>
  <c r="K5" i="5"/>
  <c r="K6" i="5"/>
  <c r="A6" i="5"/>
  <c r="A5" i="5"/>
  <c r="A4" i="5"/>
  <c r="A3" i="5"/>
  <c r="A2" i="5"/>
  <c r="B2" i="1"/>
  <c r="E2" i="3" s="1"/>
  <c r="B1" i="1" a="1"/>
  <c r="Q2" i="3" l="1"/>
  <c r="K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142F48-F8F1-44F8-9C6B-CA26628C1463}" keepAlive="1" name="Query - Dnevni-tedenski plan" description="Connection to the 'Dnevni-tedenski plan' query in the workbook." type="5" refreshedVersion="8" background="1" saveData="1">
    <dbPr connection="Provider=Microsoft.Mashup.OleDb.1;Data Source=$Workbook$;Location=&quot;Dnevni-tedenski plan&quot;;Extended Properties=&quot;&quot;" command="SELECT * FROM [Dnevni-tedenski plan]"/>
  </connection>
  <connection id="2" xr16:uid="{F901CE2D-2EA8-402A-8EEF-2D4D687A855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C3F16ED5-E108-44DC-A746-4934B05B4A63}"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4" xr16:uid="{37E880C3-DC8B-4BAD-A0E0-DE52514E5B1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59CDB833-0FDC-4078-BAEB-1855EA182310}"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6" xr16:uid="{126E5B68-E09F-4687-A39D-E749C159EDA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349C7BCF-BDEB-40AA-8C80-35EA18D929E7}"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8" xr16:uid="{7A9CB27A-2F93-4461-8205-CA12EE44762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BD1D441E-B264-4AF3-BDD1-CC6CBEFA2BFE}"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0" xr16:uid="{BF6E46C6-755E-4CA9-8F24-00A7F9F7AEE0}" name="Query - vsi_normativi" description="Connection to the 'vsi_normativi' query in the workbook." type="100" refreshedVersion="8" minRefreshableVersion="5">
    <extLst>
      <ext xmlns:x15="http://schemas.microsoft.com/office/spreadsheetml/2010/11/main" uri="{DE250136-89BD-433C-8126-D09CA5730AF9}">
        <x15:connection id="27071253-5b3f-41e8-be10-107af4b4162d">
          <x15:oledbPr connection="Provider=Microsoft.Mashup.OleDb.1;Data Source=$Workbook$;Location=vsi_normativi;Extended Properties=&quot;&quot;">
            <x15:dbTables>
              <x15:dbTable name="vsi_normativi"/>
            </x15:dbTables>
          </x15:oledbPr>
        </x15:connection>
      </ext>
    </extLst>
  </connection>
  <connection id="11" xr16:uid="{9CFEA70D-66EB-489C-BAAF-FDD733C3BD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<sst xmlns="http://schemas.openxmlformats.org/spreadsheetml/2006/main" count="1466" uniqueCount="273">
  <si>
    <t>Naziv partnerja</t>
  </si>
  <si>
    <t>Datum odpreme</t>
  </si>
  <si>
    <t>Dan</t>
  </si>
  <si>
    <t>IDENT</t>
  </si>
  <si>
    <t>Kratki opis</t>
  </si>
  <si>
    <t>EM</t>
  </si>
  <si>
    <t>ZALOGA (ostalo)</t>
  </si>
  <si>
    <t>PROSTA ZALOGA</t>
  </si>
  <si>
    <t>V DELU</t>
  </si>
  <si>
    <t>NA ZALOGI</t>
  </si>
  <si>
    <t>Stauts</t>
  </si>
  <si>
    <t>Skupno količina naročila</t>
  </si>
  <si>
    <t>Index</t>
  </si>
  <si>
    <t>Filepath</t>
  </si>
  <si>
    <t>https://finesdoo.sharepoint.com/teams/MFG-B/Dokumenti v skupni rabi/Proizvodnja/Planiranje/Dnevni in tedenski plan/</t>
  </si>
  <si>
    <t>Količina</t>
  </si>
  <si>
    <t>ZALOGA (matično skladišče)</t>
  </si>
  <si>
    <t>PLANIRANA KOLIČINA (DN)</t>
  </si>
  <si>
    <t>PROSTA ZALOGA (brez naročil)</t>
  </si>
  <si>
    <t>Grand Total</t>
  </si>
  <si>
    <t>Sum of Količina</t>
  </si>
  <si>
    <t>This week</t>
  </si>
  <si>
    <t>MANJKA</t>
  </si>
  <si>
    <t xml:space="preserve">MERCATOR, d.o.o. </t>
  </si>
  <si>
    <t>100-301.2001</t>
  </si>
  <si>
    <t>Peč konvekcijska HTB-5 NEW</t>
  </si>
  <si>
    <t>Številka</t>
  </si>
  <si>
    <t>Ponedeljek</t>
  </si>
  <si>
    <t>KOS</t>
  </si>
  <si>
    <t>PREGLEJ</t>
  </si>
  <si>
    <t>100-330.1000</t>
  </si>
  <si>
    <t>Napa kondenzacijska HTB-HK LED</t>
  </si>
  <si>
    <t>Petek</t>
  </si>
  <si>
    <t>Lokacija</t>
  </si>
  <si>
    <t>100-341</t>
  </si>
  <si>
    <t>Podstavek nevtralni HTB-CU10/90</t>
  </si>
  <si>
    <t>KTE SERVICE BVBA</t>
  </si>
  <si>
    <t>100-324.0000003</t>
  </si>
  <si>
    <t>Vzhajalnik HTBP16/80-D2</t>
  </si>
  <si>
    <t>Days (Datum odpreme)</t>
  </si>
  <si>
    <t>Grupa polizdelkov</t>
  </si>
  <si>
    <t>Kitkomplet</t>
  </si>
  <si>
    <t>Napa</t>
  </si>
  <si>
    <t>HTBP</t>
  </si>
  <si>
    <t>RN-CU</t>
  </si>
  <si>
    <t>Voziček</t>
  </si>
  <si>
    <t>(Multiple Items)</t>
  </si>
  <si>
    <t>OC-B</t>
  </si>
  <si>
    <t>TableWeeks</t>
  </si>
  <si>
    <t>Številka tedna</t>
  </si>
  <si>
    <t>Datum začetka tedna</t>
  </si>
  <si>
    <t>Četrtek</t>
  </si>
  <si>
    <t>OC-A</t>
  </si>
  <si>
    <t>100-210</t>
  </si>
  <si>
    <t>Podstavek nevtralni FBM-60/90</t>
  </si>
  <si>
    <t>SAS STE D'EQUIPEMENTS BOULANGERIE PATISS</t>
  </si>
  <si>
    <t>100-165.1006</t>
  </si>
  <si>
    <t>Peč konvekcijska FBM-60S CL</t>
  </si>
  <si>
    <t>100-330.0003000</t>
  </si>
  <si>
    <t>Napa kondenzacijska HTB-HK PA</t>
  </si>
  <si>
    <t>100-603.1004</t>
  </si>
  <si>
    <t>Peč konvekcijska FB10-S CL PA Refresh</t>
  </si>
  <si>
    <t>100-601.1011</t>
  </si>
  <si>
    <t>Peč konvekcijska FB5-S CL PA Refresh</t>
  </si>
  <si>
    <t>100-342</t>
  </si>
  <si>
    <t>Podstavek nevtralni HTB-CU6/50</t>
  </si>
  <si>
    <t>100-069</t>
  </si>
  <si>
    <t>Voziček kondicionirni KV-20</t>
  </si>
  <si>
    <t>099-10039</t>
  </si>
  <si>
    <t>Komplet povezovalni DVOJNI OC-B FB 01</t>
  </si>
  <si>
    <t>&gt;1.08.2026</t>
  </si>
  <si>
    <t>100-343</t>
  </si>
  <si>
    <t>Podstavek nevtralni HTB-CU8/75</t>
  </si>
  <si>
    <t>Konzum doo Sarajevo</t>
  </si>
  <si>
    <t>099-10040</t>
  </si>
  <si>
    <t>Komplet povezovalni ENOJNI OC-B FB 01</t>
  </si>
  <si>
    <t>100-601.3013</t>
  </si>
  <si>
    <t>Peč konvekcijska FB5-S CL E1</t>
  </si>
  <si>
    <t>100-601.3015</t>
  </si>
  <si>
    <t>Peč konvekcijska FB5-S CL L E1</t>
  </si>
  <si>
    <t>100-206.1000</t>
  </si>
  <si>
    <t>Napa kondenzacijska FBM-K60 LED</t>
  </si>
  <si>
    <t>100-603.1002</t>
  </si>
  <si>
    <t>100-165.1017</t>
  </si>
  <si>
    <t>Peč konvekcijska FBM-60S L CL</t>
  </si>
  <si>
    <t>100-165.1015</t>
  </si>
  <si>
    <t>Peč konvekcijska FBM-60/4S CL</t>
  </si>
  <si>
    <t>100-603.1001</t>
  </si>
  <si>
    <t>Peč konvekcijska FB10-S CL E1</t>
  </si>
  <si>
    <t>Torek</t>
  </si>
  <si>
    <t>100-565.1003</t>
  </si>
  <si>
    <t>Peč etažna FD86H1/1-S PA</t>
  </si>
  <si>
    <t>OD-C</t>
  </si>
  <si>
    <t>100-572</t>
  </si>
  <si>
    <t>Podstavek nevtralni FD-86/90</t>
  </si>
  <si>
    <t>JSC "Baltic Master"</t>
  </si>
  <si>
    <t>100-601.3007</t>
  </si>
  <si>
    <t>Peč konvekcijska FB5-S CL E1 9,5kW</t>
  </si>
  <si>
    <t>100-601.3009</t>
  </si>
  <si>
    <t>Peč konvekcijska FB5-S CL E1 9,5kW Leva</t>
  </si>
  <si>
    <t>099-10003</t>
  </si>
  <si>
    <t>Komplet povezovalni ENOJNI OC-B HTB 02</t>
  </si>
  <si>
    <t>100-325</t>
  </si>
  <si>
    <t>Vzhajalnik HTBP10/60-S</t>
  </si>
  <si>
    <t>100-603.1005</t>
  </si>
  <si>
    <t>Peč konvekcijska FB10-S CL L PA Refresh</t>
  </si>
  <si>
    <t>100-601.1012</t>
  </si>
  <si>
    <t>Peč konvekcijska FB5-S CL L PA Refresh</t>
  </si>
  <si>
    <t>099-10014</t>
  </si>
  <si>
    <t>Komplet povezovalni ENOJNI OD-C FD 02</t>
  </si>
  <si>
    <t>100-217.1000</t>
  </si>
  <si>
    <t>Podstavek vmesni FBM-60/14 WT</t>
  </si>
  <si>
    <t>099-16001602</t>
  </si>
  <si>
    <t>Komplet povezovalni HC-98,OC-A-60,OC-B-05HTB</t>
  </si>
  <si>
    <t>Polmarkus</t>
  </si>
  <si>
    <t>100-330.1003</t>
  </si>
  <si>
    <t>Napa kondenzacijska HTB-HK LED UP1</t>
  </si>
  <si>
    <t>100-303.2001</t>
  </si>
  <si>
    <t>Peč konvekcijska HTB-10 NEW</t>
  </si>
  <si>
    <t>099-10016</t>
  </si>
  <si>
    <t>Komplet povezovalni ENOJNI OD-C FD 03</t>
  </si>
  <si>
    <t>KEPYRA, UAB</t>
  </si>
  <si>
    <t>100-603.000010</t>
  </si>
  <si>
    <t>Peč konvekcijska FB10-S CL</t>
  </si>
  <si>
    <t>100-601</t>
  </si>
  <si>
    <t>Peč konvekcijska FB5-S</t>
  </si>
  <si>
    <t>100-325.0000003</t>
  </si>
  <si>
    <t>Vzhajalnik HTBP10/60-D2</t>
  </si>
  <si>
    <t>100-116</t>
  </si>
  <si>
    <t>Podstavek nevtralni OP-611/1011</t>
  </si>
  <si>
    <t>100-339</t>
  </si>
  <si>
    <t>Podstavek nevtralni HTB-CU/20</t>
  </si>
  <si>
    <t>FRIGO SISTEM d.o.o. Nikšić</t>
  </si>
  <si>
    <t>100-343.1002</t>
  </si>
  <si>
    <t>Podstavek nevtralni HTB-CU8/75 GN1/1</t>
  </si>
  <si>
    <t>099-10420</t>
  </si>
  <si>
    <t>Komplet povezovalni DVOJNI OC-B New</t>
  </si>
  <si>
    <t>099-10422</t>
  </si>
  <si>
    <t>Komplet povezovalni ENOJNI OC-B HTB New</t>
  </si>
  <si>
    <t>100-562.0000000</t>
  </si>
  <si>
    <t>Peč etažna FD64H2/1-S</t>
  </si>
  <si>
    <t>100-301.2004</t>
  </si>
  <si>
    <t>Peč konvekcijska HTB-5 NEW UP1</t>
  </si>
  <si>
    <t>100-580.0003000</t>
  </si>
  <si>
    <t>Napa kondenzacijska FD-HK-86 PA</t>
  </si>
  <si>
    <t>100-571</t>
  </si>
  <si>
    <t>Podstavek nevtralni FD-86/75</t>
  </si>
  <si>
    <t>K-SERVIS D.O.O.</t>
  </si>
  <si>
    <t>OD-P</t>
  </si>
  <si>
    <t>100-098</t>
  </si>
  <si>
    <t>Podstavek nevtralni ES-OP/90</t>
  </si>
  <si>
    <t>Sreda</t>
  </si>
  <si>
    <t>099-10168</t>
  </si>
  <si>
    <t>Kondenzator nape komplet TPS - sestav PA</t>
  </si>
  <si>
    <t>100-603.1010</t>
  </si>
  <si>
    <t>Peč konvekcijska FB1011-S L Snack</t>
  </si>
  <si>
    <t>100-122.1000000</t>
  </si>
  <si>
    <t>Peč pica ES660-2 D RAL 9005</t>
  </si>
  <si>
    <t>KONZUM P-7407 - RIJEKA ŽABICA</t>
  </si>
  <si>
    <t>Fortenova group d.d.</t>
  </si>
  <si>
    <t>Peč konvekcijska FB10-S CL L</t>
  </si>
  <si>
    <t>100-601.3012</t>
  </si>
  <si>
    <t>Peč konvekcijska FB5/6-S CL L</t>
  </si>
  <si>
    <t>100-339.1004</t>
  </si>
  <si>
    <t>Podstavek nevtralni HTB-CU/14</t>
  </si>
  <si>
    <t>"Trade Design" LLP</t>
  </si>
  <si>
    <t>099-32501120</t>
  </si>
  <si>
    <t>Dodatek vzhajalnika FD68-PE2/60</t>
  </si>
  <si>
    <t>100-563.0030000</t>
  </si>
  <si>
    <t>Peč etažna FD68H1/3-S</t>
  </si>
  <si>
    <t>100-322.1000</t>
  </si>
  <si>
    <t>Vzhajalnik HTBP10/60-M2</t>
  </si>
  <si>
    <t>JAGROS, d.o.o.</t>
  </si>
  <si>
    <t>LOUTER</t>
  </si>
  <si>
    <t>099-10015</t>
  </si>
  <si>
    <t>Komplet povezovalni KOMBI OC-B / OD-C 01</t>
  </si>
  <si>
    <t>100-165.1012</t>
  </si>
  <si>
    <t>Peč konvekcijska FBM-60S PA WT 230V</t>
  </si>
  <si>
    <t xml:space="preserve">WACHTEL ABT GmbH </t>
  </si>
  <si>
    <t>099-40101616</t>
  </si>
  <si>
    <t>Elektronika krmilnik - sestav OC-B-TP_IQ-Touch</t>
  </si>
  <si>
    <t>Sobota</t>
  </si>
  <si>
    <t>KONZUM plus d.o.o. Zagreb</t>
  </si>
  <si>
    <t>MERCATOR MARKET PIVKA</t>
  </si>
  <si>
    <t>MERCATOR SM BLED</t>
  </si>
  <si>
    <t>100-331.0003000</t>
  </si>
  <si>
    <t>Napa ventilacijska HTB-HV PA</t>
  </si>
  <si>
    <t>100-339.1001</t>
  </si>
  <si>
    <t>Podstavek nevtralni HTB-CU/20 LT</t>
  </si>
  <si>
    <t>100-347</t>
  </si>
  <si>
    <t>Voziček nakladalni TL-B-05+10</t>
  </si>
  <si>
    <t>Normativ montaža</t>
  </si>
  <si>
    <t>Normativ Proizvodnja</t>
  </si>
  <si>
    <t>Normativ Elektro</t>
  </si>
  <si>
    <t>Normativ Preizkus</t>
  </si>
  <si>
    <t>Row Labels</t>
  </si>
  <si>
    <t>Sum of Normativ montaža</t>
  </si>
  <si>
    <t>Datum tedna</t>
  </si>
  <si>
    <t>Razpoložljivost</t>
  </si>
  <si>
    <t>Oddelek</t>
  </si>
  <si>
    <t>Število ljudi</t>
  </si>
  <si>
    <t>Delovne ure</t>
  </si>
  <si>
    <t>Teden</t>
  </si>
  <si>
    <t>Mesec</t>
  </si>
  <si>
    <t>Proizvodnja</t>
  </si>
  <si>
    <t>Montaža</t>
  </si>
  <si>
    <t>Test</t>
  </si>
  <si>
    <t>Elektro</t>
  </si>
  <si>
    <t>Obremenitev proizvodnje z naročili</t>
  </si>
  <si>
    <t>PEKARNA KAUČIČ d.o.o.</t>
  </si>
  <si>
    <t>PEKARNA PEČJAK d.o.o.</t>
  </si>
  <si>
    <t>100-302</t>
  </si>
  <si>
    <t>Peč konvekcijska HTB-8</t>
  </si>
  <si>
    <t>100-324.4000003</t>
  </si>
  <si>
    <t>Vzhajalnik HTBP16/80-D2 +</t>
  </si>
  <si>
    <t>100-331.1001</t>
  </si>
  <si>
    <t>Napa ventilacijska HTB-HV LED</t>
  </si>
  <si>
    <t>MEDIČARNA ŠPIČKO</t>
  </si>
  <si>
    <t>Objekt P-714 Varaždin</t>
  </si>
  <si>
    <t>TIM ZIP d.o.o</t>
  </si>
  <si>
    <t xml:space="preserve">ZAGREBŠKI VELESEJEM HORECA ADRIA </t>
  </si>
  <si>
    <t>100-208.1002</t>
  </si>
  <si>
    <t>Napa kondenzacijska FBM-K40 LED UP2</t>
  </si>
  <si>
    <t>100-603.1009</t>
  </si>
  <si>
    <t>Peč konvekcijska FB1011-S Snack</t>
  </si>
  <si>
    <t>100-166.1002</t>
  </si>
  <si>
    <t>Peč konvekcijska FBM-40S WT UP2</t>
  </si>
  <si>
    <t>100-303.2002</t>
  </si>
  <si>
    <t>Peč konvekcijska HTB-10 NEW UP1</t>
  </si>
  <si>
    <t>100-211.1004</t>
  </si>
  <si>
    <t>Podstavek nevtralni FBM-40/50 UP2</t>
  </si>
  <si>
    <t>100-218.1002</t>
  </si>
  <si>
    <t>Podstavek vmesni FBM-40/71- X1 UP2</t>
  </si>
  <si>
    <t>099-10169</t>
  </si>
  <si>
    <t>Modul komunikacijski - dostopna točka WIFI/LTE</t>
  </si>
  <si>
    <t>100-301.2002</t>
  </si>
  <si>
    <t>Peč konvekcijska HTB-5 L NEW</t>
  </si>
  <si>
    <t>099-10182</t>
  </si>
  <si>
    <t>Vrata leva - sestav PV-B-10 M, D2</t>
  </si>
  <si>
    <t>100-155.1003</t>
  </si>
  <si>
    <t>Podstavek leseni SCH-RW85/4 FI</t>
  </si>
  <si>
    <t>100-151.1008</t>
  </si>
  <si>
    <t>Vitrina grelna SCH 4 D2</t>
  </si>
  <si>
    <t>SCH</t>
  </si>
  <si>
    <t>KAZA SISTEMI storitve d.o.o.</t>
  </si>
  <si>
    <t>MERCATOR HM TABOR</t>
  </si>
  <si>
    <t>100-601.3014</t>
  </si>
  <si>
    <t>Peč konvekcijska FB611-S L Snack</t>
  </si>
  <si>
    <t>100-305</t>
  </si>
  <si>
    <t>Peč konvekcijska HTB-8 L</t>
  </si>
  <si>
    <t>100-123</t>
  </si>
  <si>
    <t>Peč pica ES 660-3 D</t>
  </si>
  <si>
    <t>100-090</t>
  </si>
  <si>
    <t>Podstavek nevtralni ES-OP/70</t>
  </si>
  <si>
    <t>100-341.1003</t>
  </si>
  <si>
    <t>Podstavek nevtralni HTB-CU10/90 GN1/1</t>
  </si>
  <si>
    <t>100-030</t>
  </si>
  <si>
    <t>Voziček za pladnje EVP-60/40</t>
  </si>
  <si>
    <t>MERCATOR MARKET 4 LEVSTIKOVA PIRAN</t>
  </si>
  <si>
    <t>PEKARA "CROATIA2" Tome Kajtazi</t>
  </si>
  <si>
    <t>100-564.1001</t>
  </si>
  <si>
    <t>Peč etažna FD68H1/2-S UP1</t>
  </si>
  <si>
    <t>100-370.1001</t>
  </si>
  <si>
    <t>Podstavek nevtralni FD-68/90 UP1</t>
  </si>
  <si>
    <t>100-601.000010</t>
  </si>
  <si>
    <t>Peč konvekcijska FB5-S CL</t>
  </si>
  <si>
    <t>100-151.1011</t>
  </si>
  <si>
    <t>Vitrina grelna SCH 4 D2 Rogljiček</t>
  </si>
  <si>
    <t>KONZUM P-3221 KARLOVAC</t>
  </si>
  <si>
    <t>Objekt P-1401 IVANEC</t>
  </si>
  <si>
    <t>KZB professional kitchen equipment</t>
  </si>
  <si>
    <t>100-562.0020000</t>
  </si>
  <si>
    <t>Peč etažna FD64H2/2-S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</si>
</sst>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charset val="238"/>
      <scheme val="minor"/>
    </font>
    <font>
      <sz val="8"/>
      <name val="Calibri"/>
      <family val="2"/>
      <scheme val="minor"/>
    </font>
    <font>
      <sz val="12"/>
      <color theme="1"/>
      <name val="Calibri"/>
      <family val="2"/>
      <scheme val="minor"/>
    </font>
    <font>
      <u/>
      <sz val="11"/>
      <color theme="10"/>
      <name val="Calibri"/>
      <family val="2"/>
      <scheme val="minor"/>
    </font>
    <font>
      <b/>
      <sz val="18"/>
      <color theme="1"/>
      <name val="Calibri"/>
      <family val="2"/>
      <charset val="238"/>
      <scheme val="minor"/>
    </font>
    <font>
      <b/>
      <sz val="22"/>
      <color theme="1"/>
      <name val="Calibri"/>
      <family val="2"/>
      <scheme val="minor"/>
    </font>
    <font>
      <sz val="14"/>
      <color theme="1"/>
      <name val="Calibri"/>
      <family val="2"/>
      <scheme val="minor"/>
    </font>
    <font>
      <b/>
      <sz val="12"/>
      <color theme="1"/>
      <name val="Calibri"/>
      <family val="2"/>
      <scheme val="minor"/>
    </font>
    <font>
      <b/>
      <sz val="12"/>
      <color theme="1"/>
      <name val="Calibri"/>
      <family val="2"/>
      <charset val="238"/>
      <scheme val="minor"/>
    </font>
    <font>
      <sz val="10"/>
      <name val="Arial"/>
      <family val="2"/>
      <charset val="238"/>
    </font>
    <font>
      <b/>
      <sz val="12"/>
      <name val="Calibri"/>
      <family val="2"/>
      <charset val="238"/>
      <scheme val="minor"/>
    </font>
    <font>
      <b/>
      <sz val="11"/>
      <color rgb="FFFF0000"/>
      <name val="Calibri"/>
      <family val="2"/>
      <charset val="238"/>
      <scheme val="minor"/>
    </font>
  </fonts>
  <fills count="13">
    <fill>
      <patternFill patternType="none"/>
    </fill>
    <fill>
      <patternFill patternType="gray125"/>
    </fill>
    <fill>
      <patternFill patternType="solid">
        <fgColor theme="4" tint="0.79998168889431442"/>
        <bgColor indexed="64"/>
      </patternFill>
    </fill>
    <fill>
      <gradientFill degree="270">
        <stop position="0">
          <color theme="4" tint="0.80001220740379042"/>
        </stop>
        <stop position="1">
          <color theme="4" tint="0.40000610370189521"/>
        </stop>
      </gradientFill>
    </fill>
    <fill>
      <patternFill patternType="solid">
        <fgColor rgb="FFFFCCCC"/>
        <bgColor indexed="64"/>
      </patternFill>
    </fill>
    <fill>
      <patternFill patternType="solid">
        <fgColor theme="6" tint="0.79998168889431442"/>
        <bgColor indexed="64"/>
      </patternFill>
    </fill>
    <fill>
      <gradientFill degree="270">
        <stop position="0">
          <color theme="6" tint="0.80001220740379042"/>
        </stop>
        <stop position="1">
          <color theme="6" tint="0.40000610370189521"/>
        </stop>
      </gradientFill>
    </fill>
    <fill>
      <gradientFill degree="90">
        <stop position="0">
          <color theme="5" tint="0.40000610370189521"/>
        </stop>
        <stop position="1">
          <color rgb="FFFFCCCC"/>
        </stop>
      </gradient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59999389629810485"/>
        <bgColor indexed="64"/>
      </patternFill>
    </fill>
  </fills>
  <borders count="1">
    <border>
      <left/>
      <right/>
      <top/>
      <bottom/>
      <diagonal/>
    </border>
  </borders>
  <cellStyleXfs count="5">
    <xf numFmtId="0" fontId="0" fillId="0" borderId="0"/>
    <xf numFmtId="0" fontId="4" fillId="0" borderId="0" applyNumberFormat="0" applyFill="0" applyBorder="0" applyAlignment="0" applyProtection="0"/>
    <xf numFmtId="0" fontId="1" fillId="0" borderId="0"/>
    <xf numFmtId="0" fontId="10" fillId="0" borderId="0"/>
    <xf numFmtId="0" fontId="10" fillId="0" borderId="0"/>
  </cellStyleXfs>
  <cellXfs count="48">
    <xf numFmtId="0" fontId="0" fillId="0" borderId="0" xfId="0"/>
    <xf numFmtId="14" fontId="0" fillId="0" borderId="0" xfId="0" applyNumberFormat="1"/>
    <xf numFmtId="0" fontId="0" fillId="0" borderId="0" xfId="0" applyAlignment="1">
      <alignment horizontal="center" vertical="center"/>
    </xf>
    <xf numFmtId="0" fontId="4" fillId="0" borderId="0" xfId="1"/>
    <xf numFmtId="0" fontId="7" fillId="0" borderId="0" xfId="0" applyFont="1"/>
    <xf numFmtId="0" fontId="7" fillId="0" borderId="0" xfId="0" applyFont="1" applyAlignment="1">
      <alignment horizontal="center" vertical="center"/>
    </xf>
    <xf numFmtId="0" fontId="6" fillId="0" borderId="0" xfId="0" applyFont="1" applyAlignment="1">
      <alignment horizontal="center" vertical="center"/>
    </xf>
    <xf numFmtId="0" fontId="0" fillId="5" borderId="0" xfId="0" applyFill="1"/>
    <xf numFmtId="0" fontId="5" fillId="0" borderId="0" xfId="0" applyFont="1" applyAlignment="1">
      <alignment horizontal="center" vertical="center"/>
    </xf>
    <xf numFmtId="0" fontId="7" fillId="5" borderId="0" xfId="0" applyFont="1" applyFill="1"/>
    <xf numFmtId="0" fontId="7" fillId="4" borderId="0" xfId="0" applyFont="1" applyFill="1"/>
    <xf numFmtId="0" fontId="7" fillId="0" borderId="0" xfId="0" applyFont="1" applyAlignment="1">
      <alignment wrapText="1"/>
    </xf>
    <xf numFmtId="0" fontId="3" fillId="2" borderId="0" xfId="0" applyFont="1" applyFill="1"/>
    <xf numFmtId="0" fontId="3" fillId="2" borderId="0" xfId="0" applyFont="1" applyFill="1" applyAlignment="1">
      <alignment wrapText="1"/>
    </xf>
    <xf numFmtId="14" fontId="7" fillId="0" borderId="0" xfId="0" applyNumberFormat="1" applyFont="1"/>
    <xf numFmtId="0" fontId="0" fillId="5" borderId="0" xfId="0" applyFill="1" applyAlignment="1">
      <alignment horizontal="center" vertical="center"/>
    </xf>
    <xf numFmtId="0" fontId="0" fillId="4" borderId="0" xfId="0" applyFill="1"/>
    <xf numFmtId="0" fontId="0" fillId="4" borderId="0" xfId="0" applyFill="1" applyAlignment="1">
      <alignment horizontal="center" vertical="center"/>
    </xf>
    <xf numFmtId="14" fontId="7" fillId="5" borderId="0" xfId="0" applyNumberFormat="1" applyFont="1" applyFill="1"/>
    <xf numFmtId="14" fontId="7" fillId="4" borderId="0" xfId="0" applyNumberFormat="1" applyFont="1" applyFill="1"/>
    <xf numFmtId="0" fontId="3" fillId="2" borderId="0" xfId="0"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0" fillId="0" borderId="0" xfId="0" pivotButton="1"/>
    <xf numFmtId="14" fontId="0" fillId="8" borderId="0" xfId="0" applyNumberFormat="1" applyFill="1" applyAlignment="1">
      <alignment horizontal="center" vertical="center"/>
    </xf>
    <xf numFmtId="0" fontId="0" fillId="9" borderId="0" xfId="0" applyFill="1"/>
    <xf numFmtId="0" fontId="0" fillId="0" borderId="0" xfId="0" applyAlignment="1">
      <alignment horizontal="left"/>
    </xf>
    <xf numFmtId="0" fontId="9" fillId="0" borderId="0" xfId="0" applyFont="1" applyAlignment="1">
      <alignment horizontal="center" vertical="center"/>
    </xf>
    <xf numFmtId="0" fontId="9" fillId="0" borderId="0" xfId="0" pivotButton="1" applyFont="1" applyAlignment="1">
      <alignment horizontal="center" vertical="center"/>
    </xf>
    <xf numFmtId="0" fontId="1" fillId="0" borderId="0" xfId="2"/>
    <xf numFmtId="0" fontId="9" fillId="0" borderId="0" xfId="0" applyFont="1" applyAlignment="1">
      <alignment horizontal="center" vertical="center" wrapText="1"/>
    </xf>
    <xf numFmtId="0" fontId="11" fillId="0" borderId="0" xfId="0" applyFont="1" applyAlignment="1">
      <alignment horizontal="center" vertical="center" wrapText="1"/>
    </xf>
    <xf numFmtId="0" fontId="0" fillId="11" borderId="0" xfId="0" applyFill="1"/>
    <xf numFmtId="0" fontId="12" fillId="0" borderId="0" xfId="0" applyFont="1" applyAlignment="1">
      <alignment horizontal="left" vertical="center"/>
    </xf>
    <xf numFmtId="0" fontId="0" fillId="12" borderId="0" xfId="0" applyFill="1"/>
    <xf numFmtId="0" fontId="3" fillId="0" borderId="0" xfId="0" pivotButton="1" applyFont="1"/>
    <xf numFmtId="0" fontId="3" fillId="0" borderId="0" xfId="0" applyFont="1"/>
    <xf numFmtId="0" fontId="3" fillId="0" borderId="0" xfId="0" pivotButton="1" applyFont="1" applyAlignment="1">
      <alignment horizontal="center" vertical="center" wrapText="1"/>
    </xf>
    <xf numFmtId="0" fontId="3" fillId="0" borderId="0" xfId="0" applyFont="1" applyAlignment="1">
      <alignment horizontal="center" vertical="center" wrapText="1"/>
    </xf>
    <xf numFmtId="14" fontId="3" fillId="0" borderId="0" xfId="0" applyNumberFormat="1" applyFont="1"/>
    <xf numFmtId="0" fontId="3" fillId="0" borderId="0" xfId="0" applyFont="1" applyAlignment="1">
      <alignment horizontal="center" vertical="center"/>
    </xf>
    <xf numFmtId="14" fontId="3" fillId="0" borderId="0" xfId="0" pivotButton="1" applyNumberFormat="1" applyFont="1"/>
    <xf numFmtId="14" fontId="3" fillId="0" borderId="0" xfId="0" pivotButton="1" applyNumberFormat="1" applyFont="1" applyAlignment="1">
      <alignment horizontal="center" vertical="center" wrapText="1"/>
    </xf>
    <xf numFmtId="0" fontId="12" fillId="0" borderId="0" xfId="0" applyFont="1" applyAlignment="1">
      <alignment horizontal="left" vertical="center"/>
    </xf>
    <xf numFmtId="0" fontId="8" fillId="10" borderId="0" xfId="2" applyFont="1" applyFill="1" applyAlignment="1">
      <alignment horizontal="center" vertical="center"/>
    </xf>
    <xf numFmtId="0" fontId="6" fillId="3"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cellXfs>
  <cellStyles count="5">
    <cellStyle name="Hyperlink" xfId="1" builtinId="8"/>
    <cellStyle name="Normal" xfId="0" builtinId="0"/>
    <cellStyle name="Normal 2" xfId="3" xr:uid="{E1F17E70-EF93-4684-87FA-7E3C3D00E1C8}"/>
    <cellStyle name="Normal 3" xfId="4" xr:uid="{BD2FBD09-858A-427B-8801-AB3D2C59DE05}"/>
    <cellStyle name="Normal 4" xfId="2" xr:uid="{CBE8EE3E-F533-43A1-8114-6F145C3D93A7}"/>
  </cellStyles>
  <dxfs count="22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mm/yyyy"/>
    </dxf>
    <dxf>
      <numFmt numFmtId="19" formatCode="d/mm/yyyy"/>
      <alignment horizontal="center" vertical="center" textRotation="0" wrapText="0" indent="0" justifyLastLine="0" shrinkToFit="0" readingOrder="0"/>
    </dxf>
    <dxf>
      <font>
        <b/>
        <i val="0"/>
        <color rgb="FF00B050"/>
      </font>
    </dxf>
    <dxf>
      <font>
        <b/>
        <i val="0"/>
        <color rgb="FFFF0000"/>
      </font>
    </dxf>
    <dxf>
      <fill>
        <patternFill>
          <bgColor rgb="FF00B050"/>
        </patternFill>
      </fill>
    </dxf>
    <dxf>
      <fill>
        <patternFill>
          <bgColor theme="4" tint="0.39994506668294322"/>
        </patternFill>
      </fill>
    </dxf>
    <dxf>
      <font>
        <b/>
        <i val="0"/>
      </font>
      <fill>
        <patternFill>
          <bgColor rgb="FFFF3300"/>
        </patternFill>
      </fill>
    </dxf>
    <dxf>
      <fill>
        <patternFill>
          <bgColor rgb="FFFFC000"/>
        </patternFill>
      </fill>
    </dxf>
    <dxf>
      <fill>
        <patternFill>
          <bgColor rgb="FFFFFF00"/>
        </patternFill>
      </fill>
    </dxf>
    <dxf>
      <alignment horizontal="center"/>
    </dxf>
    <dxf>
      <alignment horizontal="center"/>
    </dxf>
    <dxf>
      <alignment vertical="center"/>
    </dxf>
    <dxf>
      <alignment vertical="center"/>
    </dxf>
    <dxf>
      <border>
        <top/>
      </border>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wrapText="1"/>
    </dxf>
    <dxf>
      <border>
        <top/>
      </border>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vertical="center"/>
    </dxf>
    <dxf>
      <alignment vertical="center"/>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vertical="center"/>
    </dxf>
    <dxf>
      <alignment vertical="center"/>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9" formatCode="d/mm/yyyy"/>
    </dxf>
    <dxf>
      <numFmt numFmtId="19" formatCode="d/mm/yyyy"/>
    </dxf>
    <dxf>
      <numFmt numFmtId="19" formatCode="d/mm/yyyy"/>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numFmt numFmtId="0" formatCode="General"/>
    </dxf>
    <dxf>
      <numFmt numFmtId="0" formatCode="General"/>
    </dxf>
    <dxf>
      <numFmt numFmtId="0" formatCode="General"/>
    </dxf>
    <dxf>
      <alignment wrapText="1"/>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font>
        <sz val="12"/>
      </font>
    </dxf>
    <dxf>
      <font>
        <sz val="12"/>
      </font>
    </dxf>
    <dxf>
      <font>
        <b/>
        <charset val="238"/>
      </font>
    </dxf>
    <dxf>
      <font>
        <b/>
        <charset val="238"/>
      </font>
    </dxf>
    <dxf>
      <numFmt numFmtId="0" formatCode="General"/>
    </dxf>
    <dxf>
      <numFmt numFmtId="0" formatCode="General"/>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rgb="FFFFCCCC"/>
        </patternFill>
      </fill>
    </dxf>
    <dxf>
      <fill>
        <patternFill patternType="solid">
          <bgColor rgb="FFFFCCCC"/>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fill>
        <patternFill>
          <bgColor theme="8" tint="0.59999389629810485"/>
        </patternFill>
      </fill>
    </dxf>
    <dxf>
      <fill>
        <patternFill>
          <bgColor theme="8" tint="0.59999389629810485"/>
        </patternFill>
      </fill>
    </dxf>
    <dxf>
      <fill>
        <patternFill patternType="solid">
          <bgColor rgb="FFFFCCCC"/>
        </patternFill>
      </fill>
    </dxf>
    <dxf>
      <fill>
        <patternFill patternType="solid">
          <bgColor rgb="FFFFCCCC"/>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s>
  <tableStyles count="0" defaultTableStyle="TableStyleMedium2" defaultPivotStyle="PivotStyleLight16"/>
  <colors>
    <mruColors>
      <color rgb="FFFFCCCC"/>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[FINES - PRIORITETE - 200.xlsx]Breme!PivotTable1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a:t>Breme montaže</a:t>
            </a:r>
            <a:r>
              <a:rPr lang="sl-SI" baseline="0"/>
              <a:t> z naročili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l-SI"/>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Breme!$C$1</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l-SI"/>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Breme!$B$2:$B$7</c:f>
              <c:strCache>
                <c:ptCount val="5"/>
                <c:pt idx="0">
                  <c:v>40</c:v>
                </c:pt>
                <c:pt idx="1">
                  <c:v>41</c:v>
                </c:pt>
                <c:pt idx="2">
                  <c:v>42</c:v>
                </c:pt>
                <c:pt idx="3">
                  <c:v>43</c:v>
                </c:pt>
                <c:pt idx="4">
                  <c:v>44</c:v>
                </c:pt>
              </c:strCache>
            </c:strRef>
          </c:cat>
          <c:val>
            <c:numRef>
              <c:f>Breme!$C$2:$C$7</c:f>
              <c:numCache>
                <c:formatCode>General</c:formatCode>
                <c:ptCount val="5"/>
                <c:pt idx="0">
                  <c:v>288.66000000000003</c:v>
                </c:pt>
                <c:pt idx="1">
                  <c:v>13.28</c:v>
                </c:pt>
                <c:pt idx="2">
                  <c:v>151.20000000000005</c:v>
                </c:pt>
                <c:pt idx="3">
                  <c:v>56.490000000000009</c:v>
                </c:pt>
                <c:pt idx="4">
                  <c:v>121.03</c:v>
                </c:pt>
              </c:numCache>
            </c:numRef>
          </c:val>
          <c:extLst>
            <c:ext xmlns:c16="http://schemas.microsoft.com/office/drawing/2014/chart" uri="{C3380CC4-5D6E-409C-BE32-E72D297353CC}">
              <c16:uniqueId val="{00000000-43E3-4B61-A5E4-CB3D5DB30D4C}"/>
            </c:ext>
          </c:extLst>
        </c:ser>
        <c:dLbls>
          <c:showLegendKey val="0"/>
          <c:showVal val="0"/>
          <c:showCatName val="0"/>
          <c:showSerName val="0"/>
          <c:showPercent val="0"/>
          <c:showBubbleSize val="0"/>
        </c:dLbls>
        <c:gapWidth val="219"/>
        <c:overlap val="-27"/>
        <c:axId val="307658815"/>
        <c:axId val="1227122127"/>
      </c:barChart>
      <c:catAx>
        <c:axId val="30765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1227122127"/>
        <c:crosses val="autoZero"/>
        <c:auto val="1"/>
        <c:lblAlgn val="ctr"/>
        <c:lblOffset val="100"/>
        <c:noMultiLvlLbl val="0"/>
      </c:catAx>
      <c:valAx>
        <c:axId val="122712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30765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23</xdr:col>
      <xdr:colOff>1232807</xdr:colOff>
      <xdr:row>12</xdr:row>
      <xdr:rowOff>84364</xdr:rowOff>
    </xdr:from>
    <xdr:to>
      <xdr:col>25</xdr:col>
      <xdr:colOff>785132</xdr:colOff>
      <xdr:row>25</xdr:row>
      <xdr:rowOff>131989</xdr:rowOff>
    </xdr:to>
    <mc:AlternateContent xmlns:mc="http://schemas.openxmlformats.org/markup-compatibility/2006" xmlns:sle15="http://schemas.microsoft.com/office/drawing/2012/slicer">
      <mc:Choice Requires="sle15">
        <xdr:graphicFrame macro="">
          <xdr:nvGraphicFramePr>
            <xdr:cNvPr id="2" name="Stauts">
              <a:extLst>
                <a:ext uri="{FF2B5EF4-FFF2-40B4-BE49-F238E27FC236}">
                  <a16:creationId xmlns:a16="http://schemas.microsoft.com/office/drawing/2014/main" id="{C44B6A4B-4DD8-022F-922F-5A8F32D79AD3}"/>
                </a:ext>
              </a:extLst>
            </xdr:cNvPr>
            <xdr:cNvGraphicFramePr/>
          </xdr:nvGraphicFramePr>
          <xdr:xfrm>
            <a:off x="0" y="0"/>
            <a:ext cx="0" cy="0"/>
          </xdr:xfrm>
          <a:graphic>
            <a:graphicData uri="http://schemas.microsoft.com/office/drawing/2010/slicer">
              <sle:slicer xmlns:sle="http://schemas.microsoft.com/office/drawing/2010/slicer" name="Stauts"/>
            </a:graphicData>
          </a:graphic>
        </xdr:graphicFrame>
      </mc:Choice>
      <mc:Fallback xmlns="">
        <xdr:sp macro="" textlink="">
          <xdr:nvSpPr>
            <xdr:cNvPr id="0" name=""/>
            <xdr:cNvSpPr>
              <a:spLocks noTextEdit="1"/>
            </xdr:cNvSpPr>
          </xdr:nvSpPr>
          <xdr:spPr>
            <a:xfrm>
              <a:off x="35160857" y="2370364"/>
              <a:ext cx="1819275" cy="2524125"/>
            </a:xfrm>
            <a:prstGeom prst="rect">
              <a:avLst/>
            </a:prstGeom>
            <a:solidFill>
              <a:prstClr val="white"/>
            </a:solidFill>
            <a:ln w="1">
              <a:solidFill>
                <a:prstClr val="green"/>
              </a:solidFill>
            </a:ln>
          </xdr:spPr>
          <xdr:txBody>
            <a:bodyPr vertOverflow="clip" horzOverflow="clip"/>
            <a:lstStyle/>
            <a:p>
              <a:r>
                <a:rPr lang="sl-SI"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352425</xdr:colOff>
      <xdr:row>8</xdr:row>
      <xdr:rowOff>147637</xdr:rowOff>
    </xdr:from>
    <xdr:to>
      <xdr:col>13</xdr:col>
      <xdr:colOff>552450</xdr:colOff>
      <xdr:row>23</xdr:row>
      <xdr:rowOff>33337</xdr:rowOff>
    </xdr:to>
    <xdr:graphicFrame macro="">
      <xdr:nvGraphicFramePr>
        <xdr:cNvPr id="2" name="Chart 1">
          <a:extLst>
            <a:ext uri="{FF2B5EF4-FFF2-40B4-BE49-F238E27FC236}">
              <a16:creationId xmlns:a16="http://schemas.microsoft.com/office/drawing/2014/main" id="{BBAB710E-4F8D-51E4-0ECF-283D33F78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jaž Mužar" refreshedDate="46293.531573379631" createdVersion="8" refreshedVersion="8" minRefreshableVersion="3" recordCount="239" xr:uid="{E2A79C7A-97CD-4A30-B138-9E761345956E}">
  <cacheSource type="worksheet">
    <worksheetSource name="Dnevni_tedenski_plan"/>
  </cacheSource>
  <cacheFields count="25">
    <cacheField name="Številka" numFmtId="0">
      <sharedItems containsSemiMixedTypes="0" containsString="0" containsNumber="1" containsInteger="1" minValue="202600231" maxValue="202600733"/>
    </cacheField>
    <cacheField name="Lokacija" numFmtId="0">
      <sharedItems containsBlank="1"/>
    </cacheField>
    <cacheField name="Naziv partnerja" numFmtId="0">
      <sharedItems count="52">
        <s v="MERCATOR, d.o.o. "/>
        <s v="&quot;Trade Design&quot; LLP"/>
        <s v="FRIGO SISTEM d.o.o. Nikšić"/>
        <s v="JAGROS, d.o.o."/>
        <s v="JSC &quot;Baltic Master&quot;"/>
        <s v="Konzum doo Sarajevo"/>
        <s v="PEKARNA KAUČIČ d.o.o."/>
        <s v="PEKARNA PEČJAK d.o.o."/>
        <s v="Polmarkus"/>
        <s v="SAS STE D'EQUIPEMENTS BOULANGERIE PATISS"/>
        <s v="KEPYRA, UAB"/>
        <s v="LOUTER"/>
        <s v="WACHTEL ABT GmbH "/>
        <s v="KTE SERVICE BVBA"/>
        <s v="MEDIČARNA ŠPIČKO"/>
        <s v="K-SERVIS D.O.O."/>
        <s v="Fortenova group d.d."/>
        <s v="TIM ZIP d.o.o"/>
        <s v="KONZUM plus d.o.o. Zagreb"/>
        <s v="ZAGREBŠKI VELESEJEM HORECA ADRIA "/>
        <s v="KAZA SISTEMI storitve d.o.o."/>
        <s v="PEKARA &quot;CROATIA2&quot; Tome Kajtazi"/>
        <s v="LLC BALTIC MASTER MSKLLC BALTIC MASTER MSK" u="1"/>
        <s v="KONZEPTLOUNGE e.K." u="1"/>
        <s v="DANIMEKS DOO" u="1"/>
        <s v="NIPEK GOSTOL tst d.o.o." u="1"/>
        <s v="DBCE Pty Ltd" u="1"/>
        <s v="FRUCTA TRADE " u="1"/>
        <s v="FNG Property HR d.o.o.." u="1"/>
        <s v="GO-ST d.o.o." u="1"/>
        <s v="RIBOGOJNICA IN IZLETNIŠKI TURIZEM, Kaja Marolt s.p. " u="1"/>
        <s v="The Limited Liability Company&quot;Trading house S-Prof&quot;" u="1"/>
        <s v="KOSOVA FOODS SHPK" u="1"/>
        <s v="Jan de Ruyter bakkerijmachines BV" u="1"/>
        <s v="HERT Sp. z o.o." u="1"/>
        <s v="ACRIVAC AG" u="1"/>
        <s v="HEIN FABRIQUE DE FOURS s.a.r.l." u="1"/>
        <s v="UNITEHNA d.o.o." u="1"/>
        <s v="CETRAVAC AG" u="1"/>
        <s v="KZB professional kitchen equipment" u="1"/>
        <s v="MEN10 RO SRL MEN10 RO SRL " u="1"/>
        <s v="LIAS STORITVE D.O.O." u="1"/>
        <s v="ALVEX, spol. s r.o." u="1"/>
        <s v="Bartscher GmbH" u="1"/>
        <s v="Domača peka j.d.o.o." u="1"/>
        <s v="ENGROTUŠ podjetje za trgovino, d.o.o." u="1"/>
        <s v="BTF pekarski inženiring, d.o.o." u="1"/>
        <s v="B&amp;O bakkerij techniek" u="1"/>
        <s v="BAKELINE Kft." u="1"/>
        <s v="ARIAPAN S.R.L. " u="1"/>
        <s v="BRISK d.o.o." u="1"/>
        <s v="OOO  “PROFSKANIYA”" u="1"/>
      </sharedItems>
    </cacheField>
    <cacheField name="Datum odpreme" numFmtId="14">
      <sharedItems containsSemiMixedTypes="0" containsNonDate="0" containsDate="1" containsString="0" minDate="2026-09-28T00:00:00" maxDate="2026-10-31T00:00:00" count="16">
        <d v="2026-09-28T00:00:00"/>
        <d v="2026-09-30T00:00:00"/>
        <d v="2026-10-01T00:00:00"/>
        <d v="2026-10-02T00:00:00"/>
        <d v="2026-10-08T00:00:00"/>
        <d v="2026-10-09T00:00:00"/>
        <d v="2026-10-10T00:00:00"/>
        <d v="2026-10-12T00:00:00"/>
        <d v="2026-10-13T00:00:00"/>
        <d v="2026-10-15T00:00:00"/>
        <d v="2026-10-16T00:00:00"/>
        <d v="2026-10-20T00:00:00"/>
        <d v="2026-10-23T00:00:00"/>
        <d v="2026-10-26T00:00:00"/>
        <d v="2026-10-28T00:00:00"/>
        <d v="2026-10-30T00:00:00"/>
      </sharedItems>
      <fieldGroup par="24"/>
    </cacheField>
    <cacheField name="Dan" numFmtId="0">
      <sharedItems/>
    </cacheField>
    <cacheField name="Številka tedna" numFmtId="0">
      <sharedItems containsSemiMixedTypes="0" containsString="0" containsNumber="1" containsInteger="1" minValue="28" maxValue="44" count="17">
        <n v="40"/>
        <n v="41"/>
        <n v="42"/>
        <n v="43"/>
        <n v="44"/>
        <n v="39" u="1"/>
        <n v="38" u="1"/>
        <n v="34" u="1"/>
        <n v="35" u="1"/>
        <n v="36" u="1"/>
        <n v="37" u="1"/>
        <n v="33" u="1"/>
        <n v="32" u="1"/>
        <n v="31" u="1"/>
        <n v="30" u="1"/>
        <n v="29" u="1"/>
        <n v="28" u="1"/>
      </sharedItems>
    </cacheField>
    <cacheField name="Datum začetka tedna" numFmtId="14">
      <sharedItems containsSemiMixedTypes="0" containsNonDate="0" containsDate="1" containsString="0" minDate="2026-09-28T00:00:00" maxDate="2026-10-27T00:00:00"/>
    </cacheField>
    <cacheField name="IDENT" numFmtId="0">
      <sharedItems count="189">
        <s v="099-16001602"/>
        <s v="100-330.1000"/>
        <s v="100-165.1006"/>
        <s v="100-301.2001"/>
        <s v="100-325.0000003"/>
        <s v="099-32501120"/>
        <s v="099-10016"/>
        <s v="100-563.0030000"/>
        <s v="100-322.1000"/>
        <s v="100-343.1002"/>
        <s v="100-098"/>
        <s v="099-10039"/>
        <s v="100-601.3007"/>
        <s v="100-601.3009"/>
        <s v="100-342"/>
        <s v="099-10040"/>
        <s v="100-206.1000"/>
        <s v="100-603.1002"/>
        <s v="100-601.3013"/>
        <s v="100-601.3015"/>
        <s v="100-165.1017"/>
        <s v="100-210"/>
        <s v="100-341"/>
        <s v="100-343"/>
        <s v="100-069"/>
        <s v="099-10420"/>
        <s v="099-10169"/>
        <s v="100-301.2002"/>
        <s v="100-116"/>
        <s v="099-10003"/>
        <s v="100-302"/>
        <s v="100-324.4000003"/>
        <s v="099-10422"/>
        <s v="100-331.1001"/>
        <s v="099-10168"/>
        <s v="099-10182"/>
        <s v="100-603.000010"/>
        <s v="100-601"/>
        <s v="100-603.1010"/>
        <s v="099-10014"/>
        <s v="099-10015"/>
        <s v="100-580.0003000"/>
        <s v="100-330.0003000"/>
        <s v="100-565.1003"/>
        <s v="100-603.1004"/>
        <s v="100-601.1011"/>
        <s v="100-165.1012"/>
        <s v="100-571"/>
        <s v="100-217.1000"/>
        <s v="099-40101616"/>
        <s v="100-155.1003"/>
        <s v="100-151.1008"/>
        <s v="100-122.1000000"/>
        <s v="100-603.1001"/>
        <s v="100-165.1015"/>
        <s v="100-324.0000003"/>
        <s v="100-601.3012"/>
        <s v="100-208.1002"/>
        <s v="100-330.1003"/>
        <s v="100-562.0000000"/>
        <s v="100-603.1009"/>
        <s v="100-166.1002"/>
        <s v="100-303.2002"/>
        <s v="100-301.2004"/>
        <s v="100-211.1004"/>
        <s v="100-339.1004"/>
        <s v="100-218.1002"/>
        <s v="100-325"/>
        <s v="100-331.0003000"/>
        <s v="100-603.1005"/>
        <s v="100-601.1012"/>
        <s v="100-339.1001"/>
        <s v="100-347"/>
        <s v="100-303.2001"/>
        <s v="100-572"/>
        <s v="100-339"/>
        <s v="100-601.3014"/>
        <s v="100-305"/>
        <s v="100-123"/>
        <s v="100-090"/>
        <s v="100-341.1003"/>
        <s v="100-030"/>
        <s v="100-564.1001"/>
        <s v="100-370.1001"/>
        <s v="099-10031" u="1"/>
        <s v="099-10038" u="1"/>
        <s v="099-10107" u="1"/>
        <s v="100-580.1001" u="1"/>
        <s v="100-581.1001" u="1"/>
        <s v="100-562.0020003" u="1"/>
        <s v="100-563.0010003" u="1"/>
        <s v="100-563.0000000" u="1"/>
        <s v="100-565.0000000" u="1"/>
        <s v="100-565.0020003" u="1"/>
        <s v="100-565.0020000" u="1"/>
        <s v="100-565.0030000" u="1"/>
        <s v="100-324" u="1"/>
        <s v="100-326" u="1"/>
        <s v="099-10044" u="1"/>
        <s v="099-10433" u="1"/>
        <s v="100-301.2003" u="1"/>
        <s v="100-344" u="1"/>
        <s v="110-10272" u="1"/>
        <s v="100-601.000010" u="1"/>
        <s v="100-602.000010" u="1"/>
        <s v="100-320" u="1"/>
        <s v="110-10214" u="1"/>
        <s v="099-12101601" u="1"/>
        <s v="100-121" u="1"/>
        <s v="110-10271" u="1"/>
        <s v="100-320.1000" u="1"/>
        <s v="100-303" u="1"/>
        <s v="100-301" u="1"/>
        <s v="099-16001604" u="1"/>
        <s v="099-20101601" u="1"/>
        <s v="100-208.1001" u="1"/>
        <s v="100-166.1004" u="1"/>
        <s v="099-10393" u="1"/>
        <s v="100-601.1013" u="1"/>
        <s v="100-304" u="1"/>
        <s v="100-347.1002" u="1"/>
        <s v="100-155.1002" u="1"/>
        <s v="100-151.1007" u="1"/>
        <s v="100-151.1010" u="1"/>
        <s v="100-151.1004" u="1"/>
        <s v="110-10086" u="1"/>
        <s v="100-566.0040000" u="1"/>
        <s v="099-10018" u="1"/>
        <s v="100-334" u="1"/>
        <s v="100-165.0000000" u="1"/>
        <s v="100-565.0030003" u="1"/>
        <s v="100-122" u="1"/>
        <s v="100-342.1001" u="1"/>
        <s v="100-330" u="1"/>
        <s v="100-563.0020000" u="1"/>
        <s v="100-370" u="1"/>
        <s v="100-601.1014" u="1"/>
        <s v="100-342.1004" u="1"/>
        <s v="099-10085" u="1"/>
        <s v="100-166.1003" u="1"/>
        <s v="100-165.1000" u="1"/>
        <s v="100-562.0020000" u="1"/>
        <s v="110-10268" u="1"/>
        <s v="110-10265" u="1"/>
        <s v="110-10266" u="1"/>
        <s v="099-37301001" u="1"/>
        <s v="099-10080" u="1"/>
        <s v="100-322" u="1"/>
        <s v="100-302.1002" u="1"/>
        <s v="099-30101616" u="1"/>
        <s v="099-10222" u="1"/>
        <s v="100-155.1000000" u="1"/>
        <s v="100-151.1003" u="1"/>
        <s v="100-151.1005" u="1"/>
        <s v="100-151.1006" u="1"/>
        <s v="100-330.0004000" u="1"/>
        <s v="100-564.0034000" u="1"/>
        <s v="100-603.4002" u="1"/>
        <s v="100-603.0003100" u="1"/>
        <s v="100-601.3016" u="1"/>
        <s v="100-601.4002" u="1"/>
        <s v="100-339.1003" u="1"/>
        <s v="110-10267" u="1"/>
        <s v="110-10263" u="1"/>
        <s v="099-30101533" u="1"/>
        <s v="100-324.0004003" u="1"/>
        <s v="100-566.0030000" u="1"/>
        <s v="100-165.1016" u="1"/>
        <s v="100-206.1001" u="1"/>
        <s v="100-581.0003000" u="1"/>
        <s v="100-165.1014" u="1"/>
        <s v="100-210.1006" u="1"/>
        <s v="100-603.1008" u="1"/>
        <s v="100-206.1003" u="1"/>
        <s v="100-601.0003100" u="1"/>
        <s v="100-165.1008" u="1"/>
        <s v="100-580.1000" u="1"/>
        <s v="100-302.1001" u="1"/>
        <s v="100-571.1001" u="1"/>
        <s v="100-324.1004" u="1"/>
        <s v="100-565.1002" u="1"/>
        <s v="100-603.L00010" u="1"/>
        <s v="100-331" u="1"/>
        <s v="100-151.0000000" u="1"/>
        <s v="100-562.0030003" u="1"/>
        <s v="100-562.0023000" u="1"/>
        <s v="100-330.000100" u="1"/>
        <s v="100-304.000100" u="1"/>
        <s v="100-322.000100" u="1"/>
      </sharedItems>
    </cacheField>
    <cacheField name="Kratki opis" numFmtId="0">
      <sharedItems count="193">
        <s v="Komplet povezovalni HC-98,OC-A-60,OC-B-05HTB"/>
        <s v="Napa kondenzacijska HTB-HK LED"/>
        <s v="Peč konvekcijska FBM-60S CL"/>
        <s v="Peč konvekcijska HTB-5 NEW"/>
        <s v="Vzhajalnik HTBP10/60-D2"/>
        <s v="Dodatek vzhajalnika FD68-PE2/60"/>
        <s v="Komplet povezovalni ENOJNI OD-C FD 03"/>
        <s v="Peč etažna FD68H1/3-S"/>
        <s v="Vzhajalnik HTBP10/60-M2"/>
        <s v="Podstavek nevtralni HTB-CU8/75 GN1/1"/>
        <s v="Podstavek nevtralni ES-OP/90"/>
        <s v="Komplet povezovalni DVOJNI OC-B FB 01"/>
        <s v="Peč konvekcijska FB5-S CL E1 9,5kW"/>
        <s v="Peč konvekcijska FB5-S CL E1 9,5kW Leva"/>
        <s v="Podstavek nevtralni HTB-CU6/50"/>
        <s v="Komplet povezovalni ENOJNI OC-B FB 01"/>
        <s v="Napa kondenzacijska FBM-K60 LED"/>
        <s v="Peč konvekcijska FB10-S CL E1 Leva"/>
        <s v="Peč konvekcijska FB5-S CL E1"/>
        <s v="Peč konvekcijska FB5-S CL L E1"/>
        <s v="Peč konvekcijska FBM-60S L CL"/>
        <s v="Podstavek nevtralni FBM-60/90"/>
        <s v="Podstavek nevtralni HTB-CU10/90"/>
        <s v="Podstavek nevtralni HTB-CU8/75"/>
        <s v="Voziček kondicionirni KV-20"/>
        <s v="Komplet povezovalni DVOJNI OC-B New"/>
        <s v="Modul komunikacijski - dostopna točka WIFI/LTE"/>
        <s v="Peč konvekcijska HTB-5 L NEW"/>
        <s v="Podstavek nevtralni OP-611/1011"/>
        <s v="Komplet povezovalni ENOJNI OC-B HTB 02"/>
        <s v="Peč konvekcijska HTB-8"/>
        <s v="Vzhajalnik HTBP16/80-D2 +"/>
        <s v="Komplet povezovalni ENOJNI OC-B HTB New"/>
        <s v="Napa ventilacijska HTB-HV LED"/>
        <s v="Kondenzator nape komplet TPS - sestav PA"/>
        <s v="Vrata leva - sestav PV-B-10 M, D2"/>
        <s v="Peč konvekcijska FB10-S CL"/>
        <s v="Peč konvekcijska FB5-S"/>
        <s v="Peč konvekcijska FB1011-S L Snack"/>
        <s v="Komplet povezovalni ENOJNI OD-C FD 02"/>
        <s v="Komplet povezovalni KOMBI OC-B / OD-C 01"/>
        <s v="Napa kondenzacijska FD-HK-86 PA"/>
        <s v="Napa kondenzacijska HTB-HK PA"/>
        <s v="Peč etažna FD86H1/1-S PA"/>
        <s v="Peč konvekcijska FB10-S CL PA Refresh"/>
        <s v="Peč konvekcijska FB5-S CL PA Refresh"/>
        <s v="Peč konvekcijska FBM-60S PA WT 230V"/>
        <s v="Podstavek nevtralni FD-86/75"/>
        <s v="Podstavek vmesni FBM-60/14 WT"/>
        <s v="Elektronika krmilnik - sestav OC-B-TP_IQ-Touch"/>
        <s v="Podstavek leseni SCH-RW85/4 FI"/>
        <s v="Vitrina grelna SCH 4 D2"/>
        <s v="Peč pica ES660-2 D RAL 9005"/>
        <s v="Peč konvekcijska FB10-S CL E1"/>
        <s v="Peč konvekcijska FBM-60/4S CL"/>
        <s v="Vzhajalnik HTBP16/80-D2"/>
        <s v="Peč konvekcijska FB10-S CL L"/>
        <s v="Peč konvekcijska FB5/6-S CL L"/>
        <s v="Napa kondenzacijska FBM-K40 LED UP2"/>
        <s v="Napa kondenzacijska HTB-HK LED UP1"/>
        <s v="Peč etažna FD64H2/1-S"/>
        <s v="Peč konvekcijska FB1011-S Snack"/>
        <s v="Peč konvekcijska FBM-40S WT UP2"/>
        <s v="Peč konvekcijska HTB-10 NEW UP1"/>
        <s v="Peč konvekcijska HTB-5 NEW UP1"/>
        <s v="Podstavek nevtralni FBM-40/50 UP2"/>
        <s v="Podstavek nevtralni HTB-CU/14"/>
        <s v="Podstavek vmesni FBM-40/71- X1 UP2"/>
        <s v="Vzhajalnik HTBP10/60-S"/>
        <s v="Napa ventilacijska HTB-HV PA"/>
        <s v="Peč konvekcijska FB10-S CL L PA Refresh"/>
        <s v="Peč konvekcijska FB5-S CL L PA Refresh"/>
        <s v="Podstavek nevtralni HTB-CU/20 LT"/>
        <s v="Voziček nakladalni TL-B-05+10"/>
        <s v="Peč konvekcijska HTB-10 NEW"/>
        <s v="Podstavek nevtralni FD-86/90"/>
        <s v="Podstavek nevtralni HTB-CU/20"/>
        <s v="Peč konvekcijska FB611-S L Snack"/>
        <s v="Peč konvekcijska HTB-8 L"/>
        <s v="Peč pica ES 660-3 D"/>
        <s v="Podstavek nevtralni ES-OP/70"/>
        <s v="Podstavek nevtralni HTB-CU10/90 GN1/1"/>
        <s v="Voziček za pladnje EVP-60/40"/>
        <s v="Peč etažna FD68H1/2-S UP1"/>
        <s v="Podstavek nevtralni FD-68/90 UP1"/>
        <s v="Dodatek vzhajalnika FD86-PE3/60" u="1"/>
        <s v="Komplet povezovalni DVOJNI OC-B HTB 02" u="1"/>
        <s v="Komplet povezovalni KOMBI OC-B / OD-C 04" u="1"/>
        <s v="Napa kondenzacijska FD-HK-86 LED" u="1"/>
        <s v="Napa ventilacijska FD-HV-86 LED" u="1"/>
        <s v="Peč etažna FD64H2/2-D2" u="1"/>
        <s v="Peč etažna FD68H1/1-D2" u="1"/>
        <s v="Peč etažna FD68H1/1-S" u="1"/>
        <s v="Peč etažna FD86H1/1-S" u="1"/>
        <s v="Peč etažna FD86H1/2-D2" u="1"/>
        <s v="Peč etažna FD86H1/2-S" u="1"/>
        <s v="Peč etažna FD86H1/3-S" u="1"/>
        <s v="Vzhajalnik HTBP16/80-S" u="1"/>
        <s v="Vzhajalnik HTBP20/95-S" u="1"/>
        <s v="Komplet povezovalni ENOJNI OD-C FD 04" u="1"/>
        <s v="Komplet povezovalni KOMBI OC-B New / OD-C 01" u="1"/>
        <s v="Peč konvekcijska HTB-5 E2 NEW" u="1"/>
        <s v="Podstavek nevtralni HTB-CE" u="1"/>
        <s v="UNIKAT - Peč etažna FD86/4-H2/3-H1/1-S" u="1"/>
        <s v="Peč konvekcijska FB5-S CL" u="1"/>
        <s v="Peč konvekcijska FB8-S CL" u="1"/>
        <s v="Vzhajalnik HTBP16-M" u="1"/>
        <s v="UNIKAT - Podstavek nevtralni ES-OP/90 RAL 9005" u="1"/>
        <s v="Komplet povezovalni HC-98,OC-B-05HTB,OP-D-66,PV-10" u="1"/>
        <s v="Peč pica ES 660-1 D" u="1"/>
        <s v="UNIKAT - Peč konvekcijska FB8-S CL priklop UPS" u="1"/>
        <s v="Vzhajalnik HTBP16/80-M2" u="1"/>
        <s v="Peč konvekcijska HTB-10" u="1"/>
        <s v="Peč konvekcijska HTB-5" u="1"/>
        <s v="Komplet povezovalni OC-A-60+OC-B-05HTB+PV-B10,16" u="1"/>
        <s v="Komplet povezovalni DVOJNI OC-A FBM 01" u="1"/>
        <s v="Napa kondenzacijska FBM-K40 LED" u="1"/>
        <s v="Peč konvekcijska FBM-40S L Ročaj" u="1"/>
        <s v="Komplet povezovalni HC-98,OC-A-60-CL,OC-B-05HTB" u="1"/>
        <s v="Peč konvekcijska FB5/6-S CL E1" u="1"/>
        <s v="Peč konvekcijska HTB-5 L" u="1"/>
        <s v="Voziček nakladalni TL-B-05+10 Odprt" u="1"/>
        <s v="Podstavek leseni SCH-RW85/4 Delhaize" u="1"/>
        <s v="Vitrina grelna SCH 4 D2 Delhaize" u="1"/>
        <s v="Vitrina grelna SCH 8 D2 Chicken" u="1"/>
        <s v="Vitrina grelna SCH 8 D2 Delhaize" u="1"/>
        <s v="UNIKAT - Vodila 6-nivojska PV-B-16HTBP D2" u="1"/>
        <s v="Peč etažna FD86H2/4-S" u="1"/>
        <s v="Komplet povezovalni ENOJNI OD-C FD 01" u="1"/>
        <s v="Podstavek nevtralni HTB-CU10-2/90" u="1"/>
        <s v="Peč konvekcijska FBM-60S" u="1"/>
        <s v="Peč etažna FD86H1/3-D2" u="1"/>
        <s v="Peč pica ES 660-2 D" u="1"/>
        <s v="Podstavek nevtralni HTB-CU4/40" u="1"/>
        <s v="Napa kondenzacijska HTB-HK" u="1"/>
        <s v="Peč etažna FD68H1/2-S" u="1"/>
        <s v="Podstavek nevtralni FD-68/90 II" u="1"/>
        <s v="Peč konvekcijska FB611-S Snack" u="1"/>
        <s v="Podstavek nevtralni HTB-CU6/50 GN1/1" u="1"/>
        <s v="Voziček za pladnje EVP-60/40, odprti" u="1"/>
        <s v="Elektronika krmilnik - sestav S-Control PA" u="1"/>
        <s v="Peč konvekcijska FBM-40S L" u="1"/>
        <s v="Peč konvekcijska FB5/6-S CL" u="1"/>
        <s v="Peč konvekcijska FBM-60S 230V" u="1"/>
        <s v="Peč etažna FD64H2/2-S" u="1"/>
        <s v="UNIKAT - Generator vlaženja - sestav OC-B keramični" u="1"/>
        <s v="UNIKAT - Peč konvekcijska HTB-10 E1 HE ČRNA" u="1"/>
        <s v="UNIKAT - Podstavek nevtralni HTB-CU10/90 HE ČRN" u="1"/>
        <s v="Dodatek vzhajalnika FD68-PE1/65" u="1"/>
        <s v="Komplet povezovalni KOMBI OC-B / OD-C 03" u="1"/>
        <s v="Vzhajalnik HTBP10-M" u="1"/>
        <s v="Peč konvekcijska HTB-8 UP2" u="1"/>
        <s v="Elektronika krmilnik - sestav OC-B-HTB_S-Control+" u="1"/>
        <s v="Komplet nadomestni OC-B-5/8 Inverter improvement" u="1"/>
        <s v="Podstavek leseni SCH-RW85 FI" u="1"/>
        <s v="Vitrina grelna SCH 8 D2" u="1"/>
        <s v="Vitrina grelna SCH 8 D2 La Lorraine" u="1"/>
        <s v="Vitrina grelna SCH660-D2 La Lorraine" u="1"/>
        <s v="Napa kondenzacijska HTB-HK BA" u="1"/>
        <s v="Peč etažna FD68H2/3-S BA" u="1"/>
        <s v="Peč konvekcijska FB10-S CL E1 NEW" u="1"/>
        <s v="Peč konvekcijska FB10-S CL PA" u="1"/>
        <s v="Peč konvekcijska FB5/6-S CL L E1" u="1"/>
        <s v="Peč konvekcijska FB5-S CL AR" u="1"/>
        <s v="Peč konvekcijska FB5-S CL E1 NEW" u="1"/>
        <s v="Podstavek nevtralni HTB-CU/14 LT" u="1"/>
        <s v="UNIKAT - Peč konvekcijska HTB-10/9 E1 HE" u="1"/>
        <s v="UNIKAT - Sistem podpeke -  komplet OD-C-812 V1" u="1"/>
        <s v="Ventil reducirni 3/4&quot; - sestav" u="1"/>
        <s v="Vzhajalnik HTBP16/80-D2 BA" u="1"/>
        <s v="Peč etažna FD86H2/3-S" u="1"/>
        <s v="Peč konvekcijska FBM-60/4S L CL" u="1"/>
        <s v="Napa kondenzacijska FBM-K60 LED UP2" u="1"/>
        <s v="Napa ventilacijska FD-HV-86 PA" u="1"/>
        <s v="Peč konvekcijska FBM-60S L 230V UP2" u="1"/>
        <s v="Podstavek nevtralni FBM-60/90 UP2" u="1"/>
        <s v="Peč konvekcijska FB10-S CL 22kW" u="1"/>
        <s v="Napa kondenzacijska FBM-K60 PA" u="1"/>
        <s v="Peč konvekcijska FB5-S CL PA" u="1"/>
        <s v="Peč konvekcijska FBM-60S PA" u="1"/>
        <s v="Napa kondenzacijska FD-HK-86 LED UP1" u="1"/>
        <s v="Peč konvekcijska HTB-8 UP1" u="1"/>
        <s v="Podstavek nevtralni FD-86/75 UP1" u="1"/>
        <s v="Vzhajalnik HTBP16/80-D2 UP1" u="1"/>
        <s v="Peč etažna FD86H1/3-S UP1" u="1"/>
        <s v="Peč konvekcijska FB10-S L CL" u="1"/>
        <s v="Napa ventilacijska HTB-HV" u="1"/>
        <s v="Vitrina grelna SCH660-D2" u="1"/>
        <s v="Peč etažna FD64H2/3-D2" u="1"/>
        <s v="Peč etažna FD64H2/2-S PA" u="1"/>
        <s v="Napa kondenzacijska HTB-HK UP" u="1"/>
        <s v="Peč konvekcijska HTB-5 L UP" u="1"/>
        <s v="Vzhajalnik HTBP10-M UP" u="1"/>
      </sharedItems>
    </cacheField>
    <cacheField name="Količina" numFmtId="0">
      <sharedItems containsSemiMixedTypes="0" containsString="0" containsNumber="1" containsInteger="1" minValue="1" maxValue="30"/>
    </cacheField>
    <cacheField name="EM" numFmtId="0">
      <sharedItems/>
    </cacheField>
    <cacheField name="Skupno količina naročila" numFmtId="0">
      <sharedItems containsSemiMixedTypes="0" containsString="0" containsNumber="1" containsInteger="1" minValue="1" maxValue="70"/>
    </cacheField>
    <cacheField name="ZALOGA (matično skladišče)" numFmtId="0">
      <sharedItems containsSemiMixedTypes="0" containsString="0" containsNumber="1" containsInteger="1" minValue="0" maxValue="18"/>
    </cacheField>
    <cacheField name="ZALOGA (ostalo)" numFmtId="0">
      <sharedItems containsSemiMixedTypes="0" containsString="0" containsNumber="1" containsInteger="1" minValue="0" maxValue="12"/>
    </cacheField>
    <cacheField name="PLANIRANA KOLIČINA (DN)" numFmtId="0">
      <sharedItems containsSemiMixedTypes="0" containsString="0" containsNumber="1" containsInteger="1" minValue="0" maxValue="70"/>
    </cacheField>
    <cacheField name="PROSTA ZALOGA" numFmtId="0">
      <sharedItems containsSemiMixedTypes="0" containsString="0" containsNumber="1" containsInteger="1" minValue="-35" maxValue="23"/>
    </cacheField>
    <cacheField name="PROSTA ZALOGA (brez naročil)" numFmtId="0">
      <sharedItems containsSemiMixedTypes="0" containsString="0" containsNumber="1" containsInteger="1" minValue="-35" maxValue="23"/>
    </cacheField>
    <cacheField name="Index" numFmtId="0">
      <sharedItems containsSemiMixedTypes="0" containsString="0" containsNumber="1" containsInteger="1" minValue="1" maxValue="489"/>
    </cacheField>
    <cacheField name="Stauts" numFmtId="0">
      <sharedItems count="4">
        <s v="NA ZALOGI"/>
        <s v="PREGLEJ"/>
        <s v="V DELU"/>
        <s v="MANJKA"/>
      </sharedItems>
    </cacheField>
    <cacheField name="Grupa polizdelkov" numFmtId="0">
      <sharedItems containsBlank="1" count="11">
        <s v="Kitkomplet"/>
        <s v="Napa"/>
        <s v="OC-A"/>
        <s v="OC-B"/>
        <s v="HTBP"/>
        <s v="OD-C"/>
        <s v="RN-CU"/>
        <s v="Voziček"/>
        <m/>
        <s v="SCH"/>
        <s v="OD-P"/>
      </sharedItems>
    </cacheField>
    <cacheField name="Normativ montaža" numFmtId="0">
      <sharedItems containsString="0" containsBlank="1" containsNumber="1" minValue="0" maxValue="8.1999999999999993"/>
    </cacheField>
    <cacheField name="Normativ Proizvodnja" numFmtId="0">
      <sharedItems containsString="0" containsBlank="1" containsNumber="1" minValue="0" maxValue="4.5"/>
    </cacheField>
    <cacheField name="Normativ Elektro" numFmtId="0">
      <sharedItems containsString="0" containsBlank="1" containsNumber="1" minValue="0" maxValue="1.7550000000000001"/>
    </cacheField>
    <cacheField name="Normativ Preizkus" numFmtId="0">
      <sharedItems containsString="0" containsBlank="1" containsNumber="1" minValue="0" maxValue="2.16"/>
    </cacheField>
    <cacheField name="Days (Datum odpreme)" numFmtId="0" databaseField="0">
      <fieldGroup base="3">
        <rangePr autoEnd="0" groupBy="days" startDate="2026-09-28T00:00:00" endDate="2026-08-01T00:00:00" groupInterval="7"/>
        <groupItems count="2">
          <s v="&lt;28.09.2026"/>
          <s v="&gt;1.08.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n v="202600614"/>
    <s v="MERCATOR MARKET ŠKOCJAN"/>
    <x v="0"/>
    <x v="0"/>
    <s v="Ponedeljek"/>
    <x v="0"/>
    <d v="2026-09-28T00:00:00"/>
    <x v="0"/>
    <x v="0"/>
    <n v="1"/>
    <s v="KOS"/>
    <n v="2"/>
    <n v="2"/>
    <n v="0"/>
    <n v="0"/>
    <n v="0"/>
    <n v="0"/>
    <n v="197"/>
    <x v="0"/>
    <x v="0"/>
    <n v="0.6"/>
    <n v="0"/>
    <n v="0"/>
    <n v="0"/>
  </r>
  <r>
    <n v="202600614"/>
    <s v="MERCATOR MARKET ŠKOCJAN"/>
    <x v="0"/>
    <x v="0"/>
    <s v="Ponedeljek"/>
    <x v="0"/>
    <d v="2026-09-28T00:00:00"/>
    <x v="1"/>
    <x v="1"/>
    <n v="1"/>
    <s v="KOS"/>
    <n v="39"/>
    <n v="4"/>
    <n v="12"/>
    <n v="60"/>
    <n v="23"/>
    <n v="23"/>
    <n v="193"/>
    <x v="1"/>
    <x v="1"/>
    <n v="0"/>
    <n v="4.1400000000000006"/>
    <n v="0.36"/>
    <n v="0"/>
  </r>
  <r>
    <n v="202600614"/>
    <s v="MERCATOR MARKET ŠKOCJAN"/>
    <x v="0"/>
    <x v="0"/>
    <s v="Ponedeljek"/>
    <x v="0"/>
    <d v="2026-09-28T00:00:00"/>
    <x v="2"/>
    <x v="2"/>
    <n v="1"/>
    <s v="KOS"/>
    <n v="5"/>
    <n v="0"/>
    <n v="0"/>
    <n v="6"/>
    <n v="1"/>
    <n v="1"/>
    <n v="194"/>
    <x v="2"/>
    <x v="2"/>
    <n v="4.34"/>
    <n v="1.68"/>
    <n v="0.42"/>
    <n v="0.56000000000000005"/>
  </r>
  <r>
    <n v="202600614"/>
    <s v="MERCATOR MARKET ŠKOCJAN"/>
    <x v="0"/>
    <x v="0"/>
    <s v="Ponedeljek"/>
    <x v="0"/>
    <d v="2026-09-28T00:00:00"/>
    <x v="3"/>
    <x v="3"/>
    <n v="1"/>
    <s v="KOS"/>
    <n v="23"/>
    <n v="1"/>
    <n v="1"/>
    <n v="22"/>
    <n v="-1"/>
    <n v="-1"/>
    <n v="195"/>
    <x v="3"/>
    <x v="3"/>
    <n v="7.83"/>
    <n v="4.4950000000000001"/>
    <n v="0.87"/>
    <n v="1.3049999999999999"/>
  </r>
  <r>
    <n v="202600614"/>
    <s v="MERCATOR MARKET ŠKOCJAN"/>
    <x v="0"/>
    <x v="0"/>
    <s v="Ponedeljek"/>
    <x v="0"/>
    <d v="2026-09-28T00:00:00"/>
    <x v="4"/>
    <x v="4"/>
    <n v="1"/>
    <s v="KOS"/>
    <n v="6"/>
    <n v="2"/>
    <n v="3"/>
    <n v="7"/>
    <n v="3"/>
    <n v="3"/>
    <n v="196"/>
    <x v="1"/>
    <x v="4"/>
    <n v="8.1999999999999993"/>
    <n v="0.2"/>
    <n v="0.8"/>
    <n v="0.89999999999999991"/>
  </r>
  <r>
    <n v="202600662"/>
    <m/>
    <x v="1"/>
    <x v="1"/>
    <s v="Sreda"/>
    <x v="0"/>
    <d v="2026-09-28T00:00:00"/>
    <x v="5"/>
    <x v="5"/>
    <n v="1"/>
    <s v="KOS"/>
    <n v="1"/>
    <n v="1"/>
    <n v="1"/>
    <n v="0"/>
    <n v="0"/>
    <n v="0"/>
    <n v="274"/>
    <x v="0"/>
    <x v="4"/>
    <m/>
    <m/>
    <m/>
    <m/>
  </r>
  <r>
    <n v="202600662"/>
    <m/>
    <x v="1"/>
    <x v="1"/>
    <s v="Sreda"/>
    <x v="0"/>
    <d v="2026-09-28T00:00:00"/>
    <x v="6"/>
    <x v="6"/>
    <n v="1"/>
    <s v="KOS"/>
    <n v="2"/>
    <n v="3"/>
    <n v="1"/>
    <n v="0"/>
    <n v="1"/>
    <n v="1"/>
    <n v="273"/>
    <x v="0"/>
    <x v="0"/>
    <n v="0.6"/>
    <n v="0"/>
    <n v="0"/>
    <n v="0"/>
  </r>
  <r>
    <n v="202600662"/>
    <m/>
    <x v="1"/>
    <x v="1"/>
    <s v="Sreda"/>
    <x v="0"/>
    <d v="2026-09-28T00:00:00"/>
    <x v="1"/>
    <x v="1"/>
    <n v="1"/>
    <s v="KOS"/>
    <n v="39"/>
    <n v="4"/>
    <n v="12"/>
    <n v="60"/>
    <n v="23"/>
    <n v="23"/>
    <n v="270"/>
    <x v="1"/>
    <x v="1"/>
    <n v="0"/>
    <n v="4.1400000000000006"/>
    <n v="0.36"/>
    <n v="0"/>
  </r>
  <r>
    <n v="202600662"/>
    <m/>
    <x v="1"/>
    <x v="1"/>
    <s v="Sreda"/>
    <x v="0"/>
    <d v="2026-09-28T00:00:00"/>
    <x v="7"/>
    <x v="7"/>
    <n v="1"/>
    <s v="KOS"/>
    <n v="1"/>
    <n v="0"/>
    <n v="1"/>
    <n v="1"/>
    <n v="0"/>
    <n v="0"/>
    <n v="271"/>
    <x v="2"/>
    <x v="5"/>
    <n v="7.8299999999999992"/>
    <n v="1.8900000000000001"/>
    <n v="1.7550000000000001"/>
    <n v="2.16"/>
  </r>
  <r>
    <n v="202600662"/>
    <m/>
    <x v="1"/>
    <x v="1"/>
    <s v="Sreda"/>
    <x v="0"/>
    <d v="2026-09-28T00:00:00"/>
    <x v="8"/>
    <x v="8"/>
    <n v="1"/>
    <s v="KOS"/>
    <n v="1"/>
    <n v="3"/>
    <n v="0"/>
    <n v="2"/>
    <n v="4"/>
    <n v="4"/>
    <n v="272"/>
    <x v="0"/>
    <x v="4"/>
    <n v="8.1999999999999993"/>
    <n v="0.2"/>
    <n v="0.8"/>
    <n v="0.89999999999999991"/>
  </r>
  <r>
    <n v="202600630"/>
    <m/>
    <x v="2"/>
    <x v="1"/>
    <s v="Sreda"/>
    <x v="0"/>
    <d v="2026-09-28T00:00:00"/>
    <x v="9"/>
    <x v="9"/>
    <n v="1"/>
    <s v="KOS"/>
    <n v="5"/>
    <n v="0"/>
    <n v="0"/>
    <n v="6"/>
    <n v="1"/>
    <n v="1"/>
    <n v="227"/>
    <x v="2"/>
    <x v="6"/>
    <n v="0"/>
    <n v="4.5"/>
    <n v="0"/>
    <n v="0"/>
  </r>
  <r>
    <n v="202600689"/>
    <m/>
    <x v="3"/>
    <x v="1"/>
    <s v="Sreda"/>
    <x v="0"/>
    <d v="2026-09-28T00:00:00"/>
    <x v="10"/>
    <x v="10"/>
    <n v="1"/>
    <s v="KOS"/>
    <n v="2"/>
    <n v="1"/>
    <n v="0"/>
    <n v="2"/>
    <n v="1"/>
    <n v="1"/>
    <n v="336"/>
    <x v="2"/>
    <x v="6"/>
    <n v="0"/>
    <n v="4.5"/>
    <n v="0"/>
    <n v="0"/>
  </r>
  <r>
    <n v="202600636"/>
    <m/>
    <x v="4"/>
    <x v="1"/>
    <s v="Sreda"/>
    <x v="0"/>
    <d v="2026-09-28T00:00:00"/>
    <x v="11"/>
    <x v="11"/>
    <n v="2"/>
    <s v="KOS"/>
    <n v="12"/>
    <n v="3"/>
    <n v="1"/>
    <n v="9"/>
    <n v="0"/>
    <n v="0"/>
    <n v="232"/>
    <x v="1"/>
    <x v="0"/>
    <n v="0.6"/>
    <n v="0"/>
    <n v="0"/>
    <n v="0"/>
  </r>
  <r>
    <n v="202600636"/>
    <m/>
    <x v="4"/>
    <x v="1"/>
    <s v="Sreda"/>
    <x v="0"/>
    <d v="2026-09-28T00:00:00"/>
    <x v="12"/>
    <x v="12"/>
    <n v="2"/>
    <s v="KOS"/>
    <n v="4"/>
    <n v="1"/>
    <n v="3"/>
    <n v="2"/>
    <n v="-1"/>
    <n v="-1"/>
    <n v="233"/>
    <x v="3"/>
    <x v="3"/>
    <n v="7.83"/>
    <n v="4.4950000000000001"/>
    <n v="0.87"/>
    <n v="1.3049999999999999"/>
  </r>
  <r>
    <n v="202600636"/>
    <m/>
    <x v="4"/>
    <x v="1"/>
    <s v="Sreda"/>
    <x v="0"/>
    <d v="2026-09-28T00:00:00"/>
    <x v="13"/>
    <x v="13"/>
    <n v="2"/>
    <s v="KOS"/>
    <n v="2"/>
    <n v="0"/>
    <n v="0"/>
    <n v="2"/>
    <n v="0"/>
    <n v="0"/>
    <n v="234"/>
    <x v="2"/>
    <x v="3"/>
    <n v="7.83"/>
    <n v="4.4950000000000001"/>
    <n v="0.87"/>
    <n v="1.3049999999999999"/>
  </r>
  <r>
    <n v="202600636"/>
    <m/>
    <x v="4"/>
    <x v="1"/>
    <s v="Sreda"/>
    <x v="0"/>
    <d v="2026-09-28T00:00:00"/>
    <x v="14"/>
    <x v="14"/>
    <n v="2"/>
    <s v="KOS"/>
    <n v="14"/>
    <n v="0"/>
    <n v="2"/>
    <n v="16"/>
    <n v="2"/>
    <n v="2"/>
    <n v="231"/>
    <x v="2"/>
    <x v="6"/>
    <n v="0"/>
    <n v="4.5"/>
    <n v="0"/>
    <n v="0"/>
  </r>
  <r>
    <n v="202600560"/>
    <s v="KONZUM BIH - P063 SARAJEVO"/>
    <x v="5"/>
    <x v="1"/>
    <s v="Sreda"/>
    <x v="0"/>
    <d v="2026-09-28T00:00:00"/>
    <x v="15"/>
    <x v="15"/>
    <n v="1"/>
    <s v="KOS"/>
    <n v="47"/>
    <n v="18"/>
    <n v="6"/>
    <n v="50"/>
    <n v="-35"/>
    <n v="-35"/>
    <n v="94"/>
    <x v="3"/>
    <x v="0"/>
    <n v="0.6"/>
    <n v="0"/>
    <n v="0"/>
    <n v="0"/>
  </r>
  <r>
    <n v="202600567"/>
    <s v="KONZUM BIH  - P262 BUGOJNO "/>
    <x v="5"/>
    <x v="1"/>
    <s v="Sreda"/>
    <x v="0"/>
    <d v="2026-09-28T00:00:00"/>
    <x v="15"/>
    <x v="15"/>
    <n v="1"/>
    <s v="KOS"/>
    <n v="47"/>
    <n v="18"/>
    <n v="6"/>
    <n v="50"/>
    <n v="-35"/>
    <n v="-35"/>
    <n v="150"/>
    <x v="3"/>
    <x v="0"/>
    <n v="0.6"/>
    <n v="0"/>
    <n v="0"/>
    <n v="0"/>
  </r>
  <r>
    <n v="202600566"/>
    <s v="KONZUM BIH - P294 VISOKO"/>
    <x v="5"/>
    <x v="1"/>
    <s v="Sreda"/>
    <x v="0"/>
    <d v="2026-09-28T00:00:00"/>
    <x v="15"/>
    <x v="15"/>
    <n v="1"/>
    <s v="KOS"/>
    <n v="47"/>
    <n v="18"/>
    <n v="6"/>
    <n v="50"/>
    <n v="-35"/>
    <n v="-35"/>
    <n v="142"/>
    <x v="3"/>
    <x v="0"/>
    <n v="0.6"/>
    <n v="0"/>
    <n v="0"/>
    <n v="0"/>
  </r>
  <r>
    <n v="202600565"/>
    <s v="KONZUM BIH - P169 ČITLUK "/>
    <x v="5"/>
    <x v="1"/>
    <s v="Sreda"/>
    <x v="0"/>
    <d v="2026-09-28T00:00:00"/>
    <x v="15"/>
    <x v="15"/>
    <n v="2"/>
    <s v="KOS"/>
    <n v="47"/>
    <n v="18"/>
    <n v="6"/>
    <n v="50"/>
    <n v="-35"/>
    <n v="-35"/>
    <n v="134"/>
    <x v="3"/>
    <x v="0"/>
    <n v="0.6"/>
    <n v="0"/>
    <n v="0"/>
    <n v="0"/>
  </r>
  <r>
    <n v="202600563"/>
    <s v="KONZUM BIH - P069 SARAJEVO"/>
    <x v="5"/>
    <x v="1"/>
    <s v="Sreda"/>
    <x v="0"/>
    <d v="2026-09-28T00:00:00"/>
    <x v="15"/>
    <x v="15"/>
    <n v="2"/>
    <s v="KOS"/>
    <n v="47"/>
    <n v="18"/>
    <n v="6"/>
    <n v="50"/>
    <n v="-35"/>
    <n v="-35"/>
    <n v="122"/>
    <x v="3"/>
    <x v="0"/>
    <n v="0.6"/>
    <n v="0"/>
    <n v="0"/>
    <n v="0"/>
  </r>
  <r>
    <n v="202600561"/>
    <s v="KONZUM BIH - P065 SARAJEVO "/>
    <x v="5"/>
    <x v="1"/>
    <s v="Sreda"/>
    <x v="0"/>
    <d v="2026-09-28T00:00:00"/>
    <x v="15"/>
    <x v="15"/>
    <n v="1"/>
    <s v="KOS"/>
    <n v="47"/>
    <n v="18"/>
    <n v="6"/>
    <n v="50"/>
    <n v="-35"/>
    <n v="-35"/>
    <n v="107"/>
    <x v="3"/>
    <x v="0"/>
    <n v="0.6"/>
    <n v="0"/>
    <n v="0"/>
    <n v="0"/>
  </r>
  <r>
    <n v="202600559"/>
    <s v="KONZUM BIH - P023 SARAJEVO "/>
    <x v="5"/>
    <x v="1"/>
    <s v="Sreda"/>
    <x v="0"/>
    <d v="2026-09-28T00:00:00"/>
    <x v="15"/>
    <x v="15"/>
    <n v="1"/>
    <s v="KOS"/>
    <n v="47"/>
    <n v="18"/>
    <n v="6"/>
    <n v="50"/>
    <n v="-35"/>
    <n v="-35"/>
    <n v="81"/>
    <x v="3"/>
    <x v="0"/>
    <n v="0.6"/>
    <n v="0"/>
    <n v="0"/>
    <n v="0"/>
  </r>
  <r>
    <n v="202600557"/>
    <s v="KONZUM BIH - P402 BIHAČ"/>
    <x v="5"/>
    <x v="1"/>
    <s v="Sreda"/>
    <x v="0"/>
    <d v="2026-09-28T00:00:00"/>
    <x v="15"/>
    <x v="15"/>
    <n v="2"/>
    <s v="KOS"/>
    <n v="47"/>
    <n v="18"/>
    <n v="6"/>
    <n v="50"/>
    <n v="-35"/>
    <n v="-35"/>
    <n v="68"/>
    <x v="3"/>
    <x v="0"/>
    <n v="0.6"/>
    <n v="0"/>
    <n v="0"/>
    <n v="0"/>
  </r>
  <r>
    <n v="202600555"/>
    <s v="KONZUM BIH - P322 TUZLA"/>
    <x v="5"/>
    <x v="1"/>
    <s v="Sreda"/>
    <x v="0"/>
    <d v="2026-09-28T00:00:00"/>
    <x v="15"/>
    <x v="15"/>
    <n v="2"/>
    <s v="KOS"/>
    <n v="47"/>
    <n v="18"/>
    <n v="6"/>
    <n v="50"/>
    <n v="-35"/>
    <n v="-35"/>
    <n v="57"/>
    <x v="3"/>
    <x v="0"/>
    <n v="0.6"/>
    <n v="0"/>
    <n v="0"/>
    <n v="0"/>
  </r>
  <r>
    <n v="202600559"/>
    <s v="KONZUM BIH - P023 SARAJEVO "/>
    <x v="5"/>
    <x v="1"/>
    <s v="Sreda"/>
    <x v="0"/>
    <d v="2026-09-28T00:00:00"/>
    <x v="16"/>
    <x v="16"/>
    <n v="1"/>
    <s v="KOS"/>
    <n v="5"/>
    <n v="8"/>
    <n v="2"/>
    <n v="0"/>
    <n v="3"/>
    <n v="3"/>
    <n v="73"/>
    <x v="0"/>
    <x v="1"/>
    <n v="0"/>
    <n v="4.1400000000000006"/>
    <n v="0.36"/>
    <n v="0"/>
  </r>
  <r>
    <n v="202600560"/>
    <s v="KONZUM BIH - P063 SARAJEVO"/>
    <x v="5"/>
    <x v="1"/>
    <s v="Sreda"/>
    <x v="0"/>
    <d v="2026-09-28T00:00:00"/>
    <x v="16"/>
    <x v="16"/>
    <n v="1"/>
    <s v="KOS"/>
    <n v="5"/>
    <n v="8"/>
    <n v="2"/>
    <n v="0"/>
    <n v="3"/>
    <n v="3"/>
    <n v="86"/>
    <x v="0"/>
    <x v="1"/>
    <n v="0"/>
    <n v="4.1400000000000006"/>
    <n v="0.36"/>
    <n v="0"/>
  </r>
  <r>
    <n v="202600563"/>
    <s v="KONZUM BIH - P069 SARAJEVO"/>
    <x v="5"/>
    <x v="1"/>
    <s v="Sreda"/>
    <x v="0"/>
    <d v="2026-09-28T00:00:00"/>
    <x v="16"/>
    <x v="16"/>
    <n v="1"/>
    <s v="KOS"/>
    <n v="5"/>
    <n v="8"/>
    <n v="2"/>
    <n v="0"/>
    <n v="3"/>
    <n v="3"/>
    <n v="114"/>
    <x v="0"/>
    <x v="1"/>
    <n v="0"/>
    <n v="4.1400000000000006"/>
    <n v="0.36"/>
    <n v="0"/>
  </r>
  <r>
    <n v="202600561"/>
    <s v="KONZUM BIH - P065 SARAJEVO "/>
    <x v="5"/>
    <x v="1"/>
    <s v="Sreda"/>
    <x v="0"/>
    <d v="2026-09-28T00:00:00"/>
    <x v="16"/>
    <x v="16"/>
    <n v="1"/>
    <s v="KOS"/>
    <n v="5"/>
    <n v="8"/>
    <n v="2"/>
    <n v="0"/>
    <n v="3"/>
    <n v="3"/>
    <n v="99"/>
    <x v="0"/>
    <x v="1"/>
    <n v="0"/>
    <n v="4.1400000000000006"/>
    <n v="0.36"/>
    <n v="0"/>
  </r>
  <r>
    <n v="202600560"/>
    <s v="KONZUM BIH - P063 SARAJEVO"/>
    <x v="5"/>
    <x v="1"/>
    <s v="Sreda"/>
    <x v="0"/>
    <d v="2026-09-28T00:00:00"/>
    <x v="1"/>
    <x v="1"/>
    <n v="1"/>
    <s v="KOS"/>
    <n v="39"/>
    <n v="4"/>
    <n v="12"/>
    <n v="60"/>
    <n v="23"/>
    <n v="23"/>
    <n v="91"/>
    <x v="1"/>
    <x v="1"/>
    <n v="0"/>
    <n v="4.1400000000000006"/>
    <n v="0.36"/>
    <n v="0"/>
  </r>
  <r>
    <n v="202600559"/>
    <s v="KONZUM BIH - P023 SARAJEVO "/>
    <x v="5"/>
    <x v="1"/>
    <s v="Sreda"/>
    <x v="0"/>
    <d v="2026-09-28T00:00:00"/>
    <x v="1"/>
    <x v="1"/>
    <n v="1"/>
    <s v="KOS"/>
    <n v="39"/>
    <n v="4"/>
    <n v="12"/>
    <n v="60"/>
    <n v="23"/>
    <n v="23"/>
    <n v="78"/>
    <x v="1"/>
    <x v="1"/>
    <n v="0"/>
    <n v="4.1400000000000006"/>
    <n v="0.36"/>
    <n v="0"/>
  </r>
  <r>
    <n v="202600563"/>
    <s v="KONZUM BIH - P069 SARAJEVO"/>
    <x v="5"/>
    <x v="1"/>
    <s v="Sreda"/>
    <x v="0"/>
    <d v="2026-09-28T00:00:00"/>
    <x v="1"/>
    <x v="1"/>
    <n v="2"/>
    <s v="KOS"/>
    <n v="39"/>
    <n v="4"/>
    <n v="12"/>
    <n v="60"/>
    <n v="23"/>
    <n v="23"/>
    <n v="119"/>
    <x v="1"/>
    <x v="1"/>
    <n v="0"/>
    <n v="4.1400000000000006"/>
    <n v="0.36"/>
    <n v="0"/>
  </r>
  <r>
    <n v="202600557"/>
    <s v="KONZUM BIH - P402 BIHAČ"/>
    <x v="5"/>
    <x v="1"/>
    <s v="Sreda"/>
    <x v="0"/>
    <d v="2026-09-28T00:00:00"/>
    <x v="1"/>
    <x v="1"/>
    <n v="2"/>
    <s v="KOS"/>
    <n v="39"/>
    <n v="4"/>
    <n v="12"/>
    <n v="60"/>
    <n v="23"/>
    <n v="23"/>
    <n v="65"/>
    <x v="1"/>
    <x v="1"/>
    <n v="0"/>
    <n v="4.1400000000000006"/>
    <n v="0.36"/>
    <n v="0"/>
  </r>
  <r>
    <n v="202600555"/>
    <s v="KONZUM BIH - P322 TUZLA"/>
    <x v="5"/>
    <x v="1"/>
    <s v="Sreda"/>
    <x v="0"/>
    <d v="2026-09-28T00:00:00"/>
    <x v="1"/>
    <x v="1"/>
    <n v="2"/>
    <s v="KOS"/>
    <n v="39"/>
    <n v="4"/>
    <n v="12"/>
    <n v="60"/>
    <n v="23"/>
    <n v="23"/>
    <n v="54"/>
    <x v="1"/>
    <x v="1"/>
    <n v="0"/>
    <n v="4.1400000000000006"/>
    <n v="0.36"/>
    <n v="0"/>
  </r>
  <r>
    <n v="202600566"/>
    <s v="KONZUM BIH - P294 VISOKO"/>
    <x v="5"/>
    <x v="1"/>
    <s v="Sreda"/>
    <x v="0"/>
    <d v="2026-09-28T00:00:00"/>
    <x v="1"/>
    <x v="1"/>
    <n v="1"/>
    <s v="KOS"/>
    <n v="39"/>
    <n v="4"/>
    <n v="12"/>
    <n v="60"/>
    <n v="23"/>
    <n v="23"/>
    <n v="139"/>
    <x v="1"/>
    <x v="1"/>
    <n v="0"/>
    <n v="4.1400000000000006"/>
    <n v="0.36"/>
    <n v="0"/>
  </r>
  <r>
    <n v="202600567"/>
    <s v="KONZUM BIH  - P262 BUGOJNO "/>
    <x v="5"/>
    <x v="1"/>
    <s v="Sreda"/>
    <x v="0"/>
    <d v="2026-09-28T00:00:00"/>
    <x v="1"/>
    <x v="1"/>
    <n v="1"/>
    <s v="KOS"/>
    <n v="39"/>
    <n v="4"/>
    <n v="12"/>
    <n v="60"/>
    <n v="23"/>
    <n v="23"/>
    <n v="147"/>
    <x v="1"/>
    <x v="1"/>
    <n v="0"/>
    <n v="4.1400000000000006"/>
    <n v="0.36"/>
    <n v="0"/>
  </r>
  <r>
    <n v="202600561"/>
    <s v="KONZUM BIH - P065 SARAJEVO "/>
    <x v="5"/>
    <x v="1"/>
    <s v="Sreda"/>
    <x v="0"/>
    <d v="2026-09-28T00:00:00"/>
    <x v="1"/>
    <x v="1"/>
    <n v="1"/>
    <s v="KOS"/>
    <n v="39"/>
    <n v="4"/>
    <n v="12"/>
    <n v="60"/>
    <n v="23"/>
    <n v="23"/>
    <n v="104"/>
    <x v="1"/>
    <x v="1"/>
    <n v="0"/>
    <n v="4.1400000000000006"/>
    <n v="0.36"/>
    <n v="0"/>
  </r>
  <r>
    <n v="202600565"/>
    <s v="KONZUM BIH - P169 ČITLUK "/>
    <x v="5"/>
    <x v="1"/>
    <s v="Sreda"/>
    <x v="0"/>
    <d v="2026-09-28T00:00:00"/>
    <x v="1"/>
    <x v="1"/>
    <n v="2"/>
    <s v="KOS"/>
    <n v="39"/>
    <n v="4"/>
    <n v="12"/>
    <n v="60"/>
    <n v="23"/>
    <n v="23"/>
    <n v="131"/>
    <x v="1"/>
    <x v="1"/>
    <n v="0"/>
    <n v="4.1400000000000006"/>
    <n v="0.36"/>
    <n v="0"/>
  </r>
  <r>
    <n v="202600555"/>
    <s v="KONZUM BIH - P322 TUZLA"/>
    <x v="5"/>
    <x v="1"/>
    <s v="Sreda"/>
    <x v="0"/>
    <d v="2026-09-28T00:00:00"/>
    <x v="17"/>
    <x v="17"/>
    <n v="2"/>
    <s v="KOS"/>
    <n v="10"/>
    <n v="3"/>
    <n v="0"/>
    <n v="7"/>
    <n v="0"/>
    <n v="0"/>
    <n v="55"/>
    <x v="1"/>
    <x v="3"/>
    <n v="7.83"/>
    <n v="4.4950000000000001"/>
    <n v="0.87"/>
    <n v="1.3049999999999999"/>
  </r>
  <r>
    <n v="202600559"/>
    <s v="KONZUM BIH - P023 SARAJEVO "/>
    <x v="5"/>
    <x v="1"/>
    <s v="Sreda"/>
    <x v="0"/>
    <d v="2026-09-28T00:00:00"/>
    <x v="18"/>
    <x v="18"/>
    <n v="1"/>
    <s v="KOS"/>
    <n v="10"/>
    <n v="2"/>
    <n v="0"/>
    <n v="11"/>
    <n v="3"/>
    <n v="3"/>
    <n v="79"/>
    <x v="1"/>
    <x v="3"/>
    <n v="7.83"/>
    <n v="4.4950000000000001"/>
    <n v="0.87"/>
    <n v="1.3049999999999999"/>
  </r>
  <r>
    <n v="202600557"/>
    <s v="KONZUM BIH - P402 BIHAČ"/>
    <x v="5"/>
    <x v="1"/>
    <s v="Sreda"/>
    <x v="0"/>
    <d v="2026-09-28T00:00:00"/>
    <x v="18"/>
    <x v="18"/>
    <n v="1"/>
    <s v="KOS"/>
    <n v="10"/>
    <n v="2"/>
    <n v="0"/>
    <n v="11"/>
    <n v="3"/>
    <n v="3"/>
    <n v="66"/>
    <x v="1"/>
    <x v="3"/>
    <n v="7.83"/>
    <n v="4.4950000000000001"/>
    <n v="0.87"/>
    <n v="1.3049999999999999"/>
  </r>
  <r>
    <n v="202600561"/>
    <s v="KONZUM BIH - P065 SARAJEVO "/>
    <x v="5"/>
    <x v="1"/>
    <s v="Sreda"/>
    <x v="0"/>
    <d v="2026-09-28T00:00:00"/>
    <x v="18"/>
    <x v="18"/>
    <n v="1"/>
    <s v="KOS"/>
    <n v="10"/>
    <n v="2"/>
    <n v="0"/>
    <n v="11"/>
    <n v="3"/>
    <n v="3"/>
    <n v="105"/>
    <x v="1"/>
    <x v="3"/>
    <n v="7.83"/>
    <n v="4.4950000000000001"/>
    <n v="0.87"/>
    <n v="1.3049999999999999"/>
  </r>
  <r>
    <n v="202600565"/>
    <s v="KONZUM BIH - P169 ČITLUK "/>
    <x v="5"/>
    <x v="1"/>
    <s v="Sreda"/>
    <x v="0"/>
    <d v="2026-09-28T00:00:00"/>
    <x v="18"/>
    <x v="18"/>
    <n v="2"/>
    <s v="KOS"/>
    <n v="10"/>
    <n v="2"/>
    <n v="0"/>
    <n v="11"/>
    <n v="3"/>
    <n v="3"/>
    <n v="132"/>
    <x v="2"/>
    <x v="3"/>
    <n v="7.83"/>
    <n v="4.4950000000000001"/>
    <n v="0.87"/>
    <n v="1.3049999999999999"/>
  </r>
  <r>
    <n v="202600566"/>
    <s v="KONZUM BIH - P294 VISOKO"/>
    <x v="5"/>
    <x v="1"/>
    <s v="Sreda"/>
    <x v="0"/>
    <d v="2026-09-28T00:00:00"/>
    <x v="18"/>
    <x v="18"/>
    <n v="1"/>
    <s v="KOS"/>
    <n v="10"/>
    <n v="2"/>
    <n v="0"/>
    <n v="11"/>
    <n v="3"/>
    <n v="3"/>
    <n v="140"/>
    <x v="1"/>
    <x v="3"/>
    <n v="7.83"/>
    <n v="4.4950000000000001"/>
    <n v="0.87"/>
    <n v="1.3049999999999999"/>
  </r>
  <r>
    <n v="202600560"/>
    <s v="KONZUM BIH - P063 SARAJEVO"/>
    <x v="5"/>
    <x v="1"/>
    <s v="Sreda"/>
    <x v="0"/>
    <d v="2026-09-28T00:00:00"/>
    <x v="19"/>
    <x v="19"/>
    <n v="1"/>
    <s v="KOS"/>
    <n v="5"/>
    <n v="0"/>
    <n v="0"/>
    <n v="5"/>
    <n v="0"/>
    <n v="0"/>
    <n v="92"/>
    <x v="2"/>
    <x v="3"/>
    <n v="7.83"/>
    <n v="4.4950000000000001"/>
    <n v="0.87"/>
    <n v="1.3049999999999999"/>
  </r>
  <r>
    <n v="202600563"/>
    <s v="KONZUM BIH - P069 SARAJEVO"/>
    <x v="5"/>
    <x v="1"/>
    <s v="Sreda"/>
    <x v="0"/>
    <d v="2026-09-28T00:00:00"/>
    <x v="19"/>
    <x v="19"/>
    <n v="2"/>
    <s v="KOS"/>
    <n v="5"/>
    <n v="0"/>
    <n v="0"/>
    <n v="5"/>
    <n v="0"/>
    <n v="0"/>
    <n v="120"/>
    <x v="2"/>
    <x v="3"/>
    <n v="7.83"/>
    <n v="4.4950000000000001"/>
    <n v="0.87"/>
    <n v="1.3049999999999999"/>
  </r>
  <r>
    <n v="202600567"/>
    <s v="KONZUM BIH  - P262 BUGOJNO "/>
    <x v="5"/>
    <x v="1"/>
    <s v="Sreda"/>
    <x v="0"/>
    <d v="2026-09-28T00:00:00"/>
    <x v="19"/>
    <x v="19"/>
    <n v="1"/>
    <s v="KOS"/>
    <n v="5"/>
    <n v="0"/>
    <n v="0"/>
    <n v="5"/>
    <n v="0"/>
    <n v="0"/>
    <n v="148"/>
    <x v="2"/>
    <x v="3"/>
    <n v="7.83"/>
    <n v="4.4950000000000001"/>
    <n v="0.87"/>
    <n v="1.3049999999999999"/>
  </r>
  <r>
    <n v="202600557"/>
    <s v="KONZUM BIH - P402 BIHAČ"/>
    <x v="5"/>
    <x v="1"/>
    <s v="Sreda"/>
    <x v="0"/>
    <d v="2026-09-28T00:00:00"/>
    <x v="19"/>
    <x v="19"/>
    <n v="1"/>
    <s v="KOS"/>
    <n v="5"/>
    <n v="0"/>
    <n v="0"/>
    <n v="5"/>
    <n v="0"/>
    <n v="0"/>
    <n v="62"/>
    <x v="2"/>
    <x v="3"/>
    <n v="7.83"/>
    <n v="4.4950000000000001"/>
    <n v="0.87"/>
    <n v="1.3049999999999999"/>
  </r>
  <r>
    <n v="202600559"/>
    <s v="KONZUM BIH - P023 SARAJEVO "/>
    <x v="5"/>
    <x v="1"/>
    <s v="Sreda"/>
    <x v="0"/>
    <d v="2026-09-28T00:00:00"/>
    <x v="2"/>
    <x v="2"/>
    <n v="1"/>
    <s v="KOS"/>
    <n v="5"/>
    <n v="0"/>
    <n v="0"/>
    <n v="6"/>
    <n v="1"/>
    <n v="1"/>
    <n v="74"/>
    <x v="2"/>
    <x v="2"/>
    <n v="4.34"/>
    <n v="1.68"/>
    <n v="0.42"/>
    <n v="0.56000000000000005"/>
  </r>
  <r>
    <n v="202600561"/>
    <s v="KONZUM BIH - P065 SARAJEVO "/>
    <x v="5"/>
    <x v="1"/>
    <s v="Sreda"/>
    <x v="0"/>
    <d v="2026-09-28T00:00:00"/>
    <x v="2"/>
    <x v="2"/>
    <n v="1"/>
    <s v="KOS"/>
    <n v="5"/>
    <n v="0"/>
    <n v="0"/>
    <n v="6"/>
    <n v="1"/>
    <n v="1"/>
    <n v="100"/>
    <x v="2"/>
    <x v="2"/>
    <n v="4.34"/>
    <n v="1.68"/>
    <n v="0.42"/>
    <n v="0.56000000000000005"/>
  </r>
  <r>
    <n v="202600560"/>
    <s v="KONZUM BIH - P063 SARAJEVO"/>
    <x v="5"/>
    <x v="1"/>
    <s v="Sreda"/>
    <x v="0"/>
    <d v="2026-09-28T00:00:00"/>
    <x v="2"/>
    <x v="2"/>
    <n v="1"/>
    <s v="KOS"/>
    <n v="5"/>
    <n v="0"/>
    <n v="0"/>
    <n v="6"/>
    <n v="1"/>
    <n v="1"/>
    <n v="87"/>
    <x v="2"/>
    <x v="2"/>
    <n v="4.34"/>
    <n v="1.68"/>
    <n v="0.42"/>
    <n v="0.56000000000000005"/>
  </r>
  <r>
    <n v="202600563"/>
    <s v="KONZUM BIH - P069 SARAJEVO"/>
    <x v="5"/>
    <x v="1"/>
    <s v="Sreda"/>
    <x v="0"/>
    <d v="2026-09-28T00:00:00"/>
    <x v="20"/>
    <x v="20"/>
    <n v="1"/>
    <s v="KOS"/>
    <n v="1"/>
    <n v="0"/>
    <n v="0"/>
    <n v="3"/>
    <n v="0"/>
    <n v="0"/>
    <n v="115"/>
    <x v="2"/>
    <x v="2"/>
    <n v="4.34"/>
    <n v="1.68"/>
    <n v="0.42"/>
    <n v="0.56000000000000005"/>
  </r>
  <r>
    <n v="202600561"/>
    <s v="KONZUM BIH - P065 SARAJEVO "/>
    <x v="5"/>
    <x v="1"/>
    <s v="Sreda"/>
    <x v="0"/>
    <d v="2026-09-28T00:00:00"/>
    <x v="21"/>
    <x v="21"/>
    <n v="1"/>
    <s v="KOS"/>
    <n v="5"/>
    <n v="5"/>
    <n v="2"/>
    <n v="3"/>
    <n v="3"/>
    <n v="3"/>
    <n v="101"/>
    <x v="0"/>
    <x v="2"/>
    <n v="0"/>
    <n v="4.5"/>
    <n v="0"/>
    <n v="0"/>
  </r>
  <r>
    <n v="202600563"/>
    <s v="KONZUM BIH - P069 SARAJEVO"/>
    <x v="5"/>
    <x v="1"/>
    <s v="Sreda"/>
    <x v="0"/>
    <d v="2026-09-28T00:00:00"/>
    <x v="21"/>
    <x v="21"/>
    <n v="1"/>
    <s v="KOS"/>
    <n v="5"/>
    <n v="5"/>
    <n v="2"/>
    <n v="3"/>
    <n v="3"/>
    <n v="3"/>
    <n v="116"/>
    <x v="0"/>
    <x v="2"/>
    <n v="0"/>
    <n v="4.5"/>
    <n v="0"/>
    <n v="0"/>
  </r>
  <r>
    <n v="202600559"/>
    <s v="KONZUM BIH - P023 SARAJEVO "/>
    <x v="5"/>
    <x v="1"/>
    <s v="Sreda"/>
    <x v="0"/>
    <d v="2026-09-28T00:00:00"/>
    <x v="21"/>
    <x v="21"/>
    <n v="1"/>
    <s v="KOS"/>
    <n v="5"/>
    <n v="5"/>
    <n v="2"/>
    <n v="3"/>
    <n v="3"/>
    <n v="3"/>
    <n v="75"/>
    <x v="0"/>
    <x v="2"/>
    <n v="0"/>
    <n v="4.5"/>
    <n v="0"/>
    <n v="0"/>
  </r>
  <r>
    <n v="202600560"/>
    <s v="KONZUM BIH - P063 SARAJEVO"/>
    <x v="5"/>
    <x v="1"/>
    <s v="Sreda"/>
    <x v="0"/>
    <d v="2026-09-28T00:00:00"/>
    <x v="21"/>
    <x v="21"/>
    <n v="1"/>
    <s v="KOS"/>
    <n v="5"/>
    <n v="5"/>
    <n v="2"/>
    <n v="3"/>
    <n v="3"/>
    <n v="3"/>
    <n v="88"/>
    <x v="0"/>
    <x v="2"/>
    <n v="0"/>
    <n v="4.5"/>
    <n v="0"/>
    <n v="0"/>
  </r>
  <r>
    <n v="202600560"/>
    <s v="KONZUM BIH - P063 SARAJEVO"/>
    <x v="5"/>
    <x v="1"/>
    <s v="Sreda"/>
    <x v="0"/>
    <d v="2026-09-28T00:00:00"/>
    <x v="22"/>
    <x v="22"/>
    <n v="1"/>
    <s v="KOS"/>
    <n v="13"/>
    <n v="12"/>
    <n v="2"/>
    <n v="12"/>
    <n v="10"/>
    <n v="10"/>
    <n v="93"/>
    <x v="1"/>
    <x v="6"/>
    <n v="0"/>
    <n v="4.5"/>
    <n v="0"/>
    <n v="0"/>
  </r>
  <r>
    <n v="202600561"/>
    <s v="KONZUM BIH - P065 SARAJEVO "/>
    <x v="5"/>
    <x v="1"/>
    <s v="Sreda"/>
    <x v="0"/>
    <d v="2026-09-28T00:00:00"/>
    <x v="22"/>
    <x v="22"/>
    <n v="1"/>
    <s v="KOS"/>
    <n v="13"/>
    <n v="12"/>
    <n v="2"/>
    <n v="12"/>
    <n v="10"/>
    <n v="10"/>
    <n v="106"/>
    <x v="1"/>
    <x v="6"/>
    <n v="0"/>
    <n v="4.5"/>
    <n v="0"/>
    <n v="0"/>
  </r>
  <r>
    <n v="202600559"/>
    <s v="KONZUM BIH - P023 SARAJEVO "/>
    <x v="5"/>
    <x v="1"/>
    <s v="Sreda"/>
    <x v="0"/>
    <d v="2026-09-28T00:00:00"/>
    <x v="22"/>
    <x v="22"/>
    <n v="1"/>
    <s v="KOS"/>
    <n v="13"/>
    <n v="12"/>
    <n v="2"/>
    <n v="12"/>
    <n v="10"/>
    <n v="10"/>
    <n v="80"/>
    <x v="1"/>
    <x v="6"/>
    <n v="0"/>
    <n v="4.5"/>
    <n v="0"/>
    <n v="0"/>
  </r>
  <r>
    <n v="202600557"/>
    <s v="KONZUM BIH - P402 BIHAČ"/>
    <x v="5"/>
    <x v="1"/>
    <s v="Sreda"/>
    <x v="0"/>
    <d v="2026-09-28T00:00:00"/>
    <x v="22"/>
    <x v="22"/>
    <n v="2"/>
    <s v="KOS"/>
    <n v="13"/>
    <n v="12"/>
    <n v="2"/>
    <n v="12"/>
    <n v="10"/>
    <n v="10"/>
    <n v="67"/>
    <x v="1"/>
    <x v="6"/>
    <n v="0"/>
    <n v="4.5"/>
    <n v="0"/>
    <n v="0"/>
  </r>
  <r>
    <n v="202600566"/>
    <s v="KONZUM BIH - P294 VISOKO"/>
    <x v="5"/>
    <x v="1"/>
    <s v="Sreda"/>
    <x v="0"/>
    <d v="2026-09-28T00:00:00"/>
    <x v="22"/>
    <x v="22"/>
    <n v="1"/>
    <s v="KOS"/>
    <n v="13"/>
    <n v="12"/>
    <n v="2"/>
    <n v="12"/>
    <n v="10"/>
    <n v="10"/>
    <n v="141"/>
    <x v="1"/>
    <x v="6"/>
    <n v="0"/>
    <n v="4.5"/>
    <n v="0"/>
    <n v="0"/>
  </r>
  <r>
    <n v="202600567"/>
    <s v="KONZUM BIH  - P262 BUGOJNO "/>
    <x v="5"/>
    <x v="1"/>
    <s v="Sreda"/>
    <x v="0"/>
    <d v="2026-09-28T00:00:00"/>
    <x v="22"/>
    <x v="22"/>
    <n v="1"/>
    <s v="KOS"/>
    <n v="13"/>
    <n v="12"/>
    <n v="2"/>
    <n v="12"/>
    <n v="10"/>
    <n v="10"/>
    <n v="149"/>
    <x v="1"/>
    <x v="6"/>
    <n v="0"/>
    <n v="4.5"/>
    <n v="0"/>
    <n v="0"/>
  </r>
  <r>
    <n v="202600563"/>
    <s v="KONZUM BIH - P069 SARAJEVO"/>
    <x v="5"/>
    <x v="1"/>
    <s v="Sreda"/>
    <x v="0"/>
    <d v="2026-09-28T00:00:00"/>
    <x v="22"/>
    <x v="22"/>
    <n v="2"/>
    <s v="KOS"/>
    <n v="13"/>
    <n v="12"/>
    <n v="2"/>
    <n v="12"/>
    <n v="10"/>
    <n v="10"/>
    <n v="121"/>
    <x v="1"/>
    <x v="6"/>
    <n v="0"/>
    <n v="4.5"/>
    <n v="0"/>
    <n v="0"/>
  </r>
  <r>
    <n v="202600565"/>
    <s v="KONZUM BIH - P169 ČITLUK "/>
    <x v="5"/>
    <x v="1"/>
    <s v="Sreda"/>
    <x v="0"/>
    <d v="2026-09-28T00:00:00"/>
    <x v="22"/>
    <x v="22"/>
    <n v="2"/>
    <s v="KOS"/>
    <n v="13"/>
    <n v="12"/>
    <n v="2"/>
    <n v="12"/>
    <n v="10"/>
    <n v="10"/>
    <n v="133"/>
    <x v="1"/>
    <x v="6"/>
    <n v="0"/>
    <n v="4.5"/>
    <n v="0"/>
    <n v="0"/>
  </r>
  <r>
    <n v="202600555"/>
    <s v="KONZUM BIH - P322 TUZLA"/>
    <x v="5"/>
    <x v="1"/>
    <s v="Sreda"/>
    <x v="0"/>
    <d v="2026-09-28T00:00:00"/>
    <x v="23"/>
    <x v="23"/>
    <n v="2"/>
    <s v="KOS"/>
    <n v="12"/>
    <n v="1"/>
    <n v="2"/>
    <n v="14"/>
    <n v="3"/>
    <n v="3"/>
    <n v="56"/>
    <x v="2"/>
    <x v="6"/>
    <n v="0"/>
    <n v="4.5"/>
    <n v="0"/>
    <n v="0"/>
  </r>
  <r>
    <n v="202600603"/>
    <s v="MERCATOR MARKET 43 VELIKI TRG"/>
    <x v="0"/>
    <x v="1"/>
    <s v="Sreda"/>
    <x v="0"/>
    <d v="2026-09-28T00:00:00"/>
    <x v="24"/>
    <x v="24"/>
    <n v="1"/>
    <s v="KOS"/>
    <n v="11"/>
    <n v="6"/>
    <n v="0"/>
    <n v="5"/>
    <n v="0"/>
    <n v="0"/>
    <n v="167"/>
    <x v="1"/>
    <x v="7"/>
    <m/>
    <m/>
    <m/>
    <m/>
  </r>
  <r>
    <n v="202600486"/>
    <s v="MERCATOR MARKET BOROVŠKA CESTA "/>
    <x v="0"/>
    <x v="1"/>
    <s v="Sreda"/>
    <x v="0"/>
    <d v="2026-09-28T00:00:00"/>
    <x v="24"/>
    <x v="24"/>
    <n v="3"/>
    <s v="KOS"/>
    <n v="11"/>
    <n v="6"/>
    <n v="0"/>
    <n v="5"/>
    <n v="0"/>
    <n v="0"/>
    <n v="37"/>
    <x v="1"/>
    <x v="7"/>
    <m/>
    <m/>
    <m/>
    <m/>
  </r>
  <r>
    <n v="202600690"/>
    <s v="MERCATOR Supermarket Ajdovščina"/>
    <x v="0"/>
    <x v="1"/>
    <s v="Sreda"/>
    <x v="0"/>
    <d v="2026-09-28T00:00:00"/>
    <x v="24"/>
    <x v="24"/>
    <n v="1"/>
    <s v="KOS"/>
    <n v="11"/>
    <n v="6"/>
    <n v="0"/>
    <n v="5"/>
    <n v="0"/>
    <n v="0"/>
    <n v="338"/>
    <x v="1"/>
    <x v="7"/>
    <m/>
    <m/>
    <m/>
    <m/>
  </r>
  <r>
    <n v="202600717"/>
    <s v="PEKARNA KAUČIČ d.o.o., PE DRAVSKE T"/>
    <x v="6"/>
    <x v="1"/>
    <s v="Sreda"/>
    <x v="0"/>
    <d v="2026-09-28T00:00:00"/>
    <x v="25"/>
    <x v="25"/>
    <n v="1"/>
    <s v="KOS"/>
    <n v="5"/>
    <n v="1"/>
    <n v="0"/>
    <n v="6"/>
    <n v="2"/>
    <n v="2"/>
    <n v="428"/>
    <x v="2"/>
    <x v="0"/>
    <m/>
    <m/>
    <m/>
    <m/>
  </r>
  <r>
    <n v="202600719"/>
    <s v="PEKARNA KAUČIČ d.o.o., PE KERSNIKOV"/>
    <x v="6"/>
    <x v="1"/>
    <s v="Sreda"/>
    <x v="0"/>
    <d v="2026-09-28T00:00:00"/>
    <x v="25"/>
    <x v="25"/>
    <n v="1"/>
    <s v="KOS"/>
    <n v="5"/>
    <n v="1"/>
    <n v="0"/>
    <n v="6"/>
    <n v="2"/>
    <n v="2"/>
    <n v="454"/>
    <x v="2"/>
    <x v="0"/>
    <m/>
    <m/>
    <m/>
    <m/>
  </r>
  <r>
    <n v="202600718"/>
    <s v="PEKARNA KAUČIČ d.o.o., PE MARKET KARDELJEVA"/>
    <x v="6"/>
    <x v="1"/>
    <s v="Sreda"/>
    <x v="0"/>
    <d v="2026-09-28T00:00:00"/>
    <x v="25"/>
    <x v="25"/>
    <n v="1"/>
    <s v="KOS"/>
    <n v="5"/>
    <n v="1"/>
    <n v="0"/>
    <n v="6"/>
    <n v="2"/>
    <n v="2"/>
    <n v="444"/>
    <x v="2"/>
    <x v="0"/>
    <m/>
    <m/>
    <m/>
    <m/>
  </r>
  <r>
    <n v="202600719"/>
    <s v="PEKARNA KAUČIČ d.o.o., PE KERSNIKOV"/>
    <x v="6"/>
    <x v="1"/>
    <s v="Sreda"/>
    <x v="0"/>
    <d v="2026-09-28T00:00:00"/>
    <x v="26"/>
    <x v="26"/>
    <n v="1"/>
    <s v="KOS"/>
    <n v="10"/>
    <n v="1"/>
    <n v="5"/>
    <n v="10"/>
    <n v="1"/>
    <n v="1"/>
    <n v="457"/>
    <x v="2"/>
    <x v="8"/>
    <m/>
    <m/>
    <m/>
    <m/>
  </r>
  <r>
    <n v="202600717"/>
    <s v="PEKARNA KAUČIČ d.o.o., PE DRAVSKE T"/>
    <x v="6"/>
    <x v="1"/>
    <s v="Sreda"/>
    <x v="0"/>
    <d v="2026-09-28T00:00:00"/>
    <x v="26"/>
    <x v="26"/>
    <n v="1"/>
    <s v="KOS"/>
    <n v="10"/>
    <n v="1"/>
    <n v="5"/>
    <n v="10"/>
    <n v="1"/>
    <n v="1"/>
    <n v="431"/>
    <x v="2"/>
    <x v="8"/>
    <m/>
    <m/>
    <m/>
    <m/>
  </r>
  <r>
    <n v="202600718"/>
    <s v="PEKARNA KAUČIČ d.o.o., PE MARKET KARDELJEVA"/>
    <x v="6"/>
    <x v="1"/>
    <s v="Sreda"/>
    <x v="0"/>
    <d v="2026-09-28T00:00:00"/>
    <x v="26"/>
    <x v="26"/>
    <n v="1"/>
    <s v="KOS"/>
    <n v="10"/>
    <n v="1"/>
    <n v="5"/>
    <n v="10"/>
    <n v="1"/>
    <n v="1"/>
    <n v="447"/>
    <x v="2"/>
    <x v="8"/>
    <m/>
    <m/>
    <m/>
    <m/>
  </r>
  <r>
    <n v="202600717"/>
    <s v="PEKARNA KAUČIČ d.o.o., PE DRAVSKE T"/>
    <x v="6"/>
    <x v="1"/>
    <s v="Sreda"/>
    <x v="0"/>
    <d v="2026-09-28T00:00:00"/>
    <x v="1"/>
    <x v="1"/>
    <n v="1"/>
    <s v="KOS"/>
    <n v="39"/>
    <n v="4"/>
    <n v="12"/>
    <n v="60"/>
    <n v="23"/>
    <n v="23"/>
    <n v="425"/>
    <x v="1"/>
    <x v="1"/>
    <n v="0"/>
    <n v="4.1400000000000006"/>
    <n v="0.36"/>
    <n v="0"/>
  </r>
  <r>
    <n v="202600719"/>
    <s v="PEKARNA KAUČIČ d.o.o., PE KERSNIKOV"/>
    <x v="6"/>
    <x v="1"/>
    <s v="Sreda"/>
    <x v="0"/>
    <d v="2026-09-28T00:00:00"/>
    <x v="1"/>
    <x v="1"/>
    <n v="1"/>
    <s v="KOS"/>
    <n v="39"/>
    <n v="4"/>
    <n v="12"/>
    <n v="60"/>
    <n v="23"/>
    <n v="23"/>
    <n v="451"/>
    <x v="1"/>
    <x v="1"/>
    <n v="0"/>
    <n v="4.1400000000000006"/>
    <n v="0.36"/>
    <n v="0"/>
  </r>
  <r>
    <n v="202600718"/>
    <s v="PEKARNA KAUČIČ d.o.o., PE MARKET KARDELJEVA"/>
    <x v="6"/>
    <x v="1"/>
    <s v="Sreda"/>
    <x v="0"/>
    <d v="2026-09-28T00:00:00"/>
    <x v="1"/>
    <x v="1"/>
    <n v="1"/>
    <s v="KOS"/>
    <n v="39"/>
    <n v="4"/>
    <n v="12"/>
    <n v="60"/>
    <n v="23"/>
    <n v="23"/>
    <n v="441"/>
    <x v="1"/>
    <x v="1"/>
    <n v="0"/>
    <n v="4.1400000000000006"/>
    <n v="0.36"/>
    <n v="0"/>
  </r>
  <r>
    <n v="202600719"/>
    <s v="PEKARNA KAUČIČ d.o.o., PE KERSNIKOV"/>
    <x v="6"/>
    <x v="1"/>
    <s v="Sreda"/>
    <x v="0"/>
    <d v="2026-09-28T00:00:00"/>
    <x v="27"/>
    <x v="27"/>
    <n v="2"/>
    <s v="KOS"/>
    <n v="3"/>
    <n v="0"/>
    <n v="0"/>
    <n v="3"/>
    <n v="0"/>
    <n v="0"/>
    <n v="452"/>
    <x v="2"/>
    <x v="3"/>
    <n v="7.83"/>
    <n v="4.4950000000000001"/>
    <n v="0.87"/>
    <n v="1.3049999999999999"/>
  </r>
  <r>
    <n v="202600718"/>
    <s v="PEKARNA KAUČIČ d.o.o., PE MARKET KARDELJEVA"/>
    <x v="6"/>
    <x v="1"/>
    <s v="Sreda"/>
    <x v="0"/>
    <d v="2026-09-28T00:00:00"/>
    <x v="3"/>
    <x v="3"/>
    <n v="2"/>
    <s v="KOS"/>
    <n v="23"/>
    <n v="1"/>
    <n v="1"/>
    <n v="22"/>
    <n v="-1"/>
    <n v="-1"/>
    <n v="442"/>
    <x v="3"/>
    <x v="3"/>
    <n v="7.83"/>
    <n v="4.4950000000000001"/>
    <n v="0.87"/>
    <n v="1.3049999999999999"/>
  </r>
  <r>
    <n v="202600717"/>
    <s v="PEKARNA KAUČIČ d.o.o., PE DRAVSKE T"/>
    <x v="6"/>
    <x v="1"/>
    <s v="Sreda"/>
    <x v="0"/>
    <d v="2026-09-28T00:00:00"/>
    <x v="3"/>
    <x v="3"/>
    <n v="2"/>
    <s v="KOS"/>
    <n v="23"/>
    <n v="1"/>
    <n v="1"/>
    <n v="22"/>
    <n v="-1"/>
    <n v="-1"/>
    <n v="426"/>
    <x v="3"/>
    <x v="3"/>
    <n v="7.83"/>
    <n v="4.4950000000000001"/>
    <n v="0.87"/>
    <n v="1.3049999999999999"/>
  </r>
  <r>
    <n v="202600717"/>
    <s v="PEKARNA KAUČIČ d.o.o., PE DRAVSKE T"/>
    <x v="6"/>
    <x v="1"/>
    <s v="Sreda"/>
    <x v="0"/>
    <d v="2026-09-28T00:00:00"/>
    <x v="28"/>
    <x v="28"/>
    <n v="1"/>
    <s v="KOS"/>
    <n v="1"/>
    <n v="4"/>
    <n v="4"/>
    <n v="0"/>
    <n v="3"/>
    <n v="3"/>
    <n v="436"/>
    <x v="0"/>
    <x v="6"/>
    <n v="0"/>
    <n v="4.5"/>
    <n v="0"/>
    <n v="0"/>
  </r>
  <r>
    <n v="202600719"/>
    <s v="PEKARNA KAUČIČ d.o.o., PE KERSNIKOV"/>
    <x v="6"/>
    <x v="1"/>
    <s v="Sreda"/>
    <x v="0"/>
    <d v="2026-09-28T00:00:00"/>
    <x v="4"/>
    <x v="4"/>
    <n v="1"/>
    <s v="KOS"/>
    <n v="6"/>
    <n v="2"/>
    <n v="3"/>
    <n v="7"/>
    <n v="3"/>
    <n v="3"/>
    <n v="453"/>
    <x v="1"/>
    <x v="4"/>
    <n v="8.1999999999999993"/>
    <n v="0.2"/>
    <n v="0.8"/>
    <n v="0.89999999999999991"/>
  </r>
  <r>
    <n v="202600718"/>
    <s v="PEKARNA KAUČIČ d.o.o., PE MARKET KARDELJEVA"/>
    <x v="6"/>
    <x v="1"/>
    <s v="Sreda"/>
    <x v="0"/>
    <d v="2026-09-28T00:00:00"/>
    <x v="4"/>
    <x v="4"/>
    <n v="1"/>
    <s v="KOS"/>
    <n v="6"/>
    <n v="2"/>
    <n v="3"/>
    <n v="7"/>
    <n v="3"/>
    <n v="3"/>
    <n v="443"/>
    <x v="1"/>
    <x v="4"/>
    <n v="8.1999999999999993"/>
    <n v="0.2"/>
    <n v="0.8"/>
    <n v="0.89999999999999991"/>
  </r>
  <r>
    <n v="202600717"/>
    <s v="PEKARNA KAUČIČ d.o.o., PE DRAVSKE T"/>
    <x v="6"/>
    <x v="1"/>
    <s v="Sreda"/>
    <x v="0"/>
    <d v="2026-09-28T00:00:00"/>
    <x v="4"/>
    <x v="4"/>
    <n v="1"/>
    <s v="KOS"/>
    <n v="6"/>
    <n v="2"/>
    <n v="3"/>
    <n v="7"/>
    <n v="3"/>
    <n v="3"/>
    <n v="427"/>
    <x v="1"/>
    <x v="4"/>
    <n v="8.1999999999999993"/>
    <n v="0.2"/>
    <n v="0.8"/>
    <n v="0.89999999999999991"/>
  </r>
  <r>
    <n v="202600698"/>
    <s v="Pekarna Pečjak trgovina ŠENČUR "/>
    <x v="7"/>
    <x v="1"/>
    <s v="Sreda"/>
    <x v="0"/>
    <d v="2026-09-28T00:00:00"/>
    <x v="29"/>
    <x v="29"/>
    <n v="1"/>
    <s v="KOS"/>
    <n v="4"/>
    <n v="8"/>
    <n v="3"/>
    <n v="8"/>
    <n v="12"/>
    <n v="12"/>
    <n v="356"/>
    <x v="0"/>
    <x v="0"/>
    <n v="0.6"/>
    <n v="0"/>
    <n v="0"/>
    <n v="0"/>
  </r>
  <r>
    <n v="202600698"/>
    <s v="Pekarna Pečjak trgovina ŠENČUR "/>
    <x v="7"/>
    <x v="1"/>
    <s v="Sreda"/>
    <x v="0"/>
    <d v="2026-09-28T00:00:00"/>
    <x v="1"/>
    <x v="1"/>
    <n v="1"/>
    <s v="KOS"/>
    <n v="39"/>
    <n v="4"/>
    <n v="12"/>
    <n v="60"/>
    <n v="23"/>
    <n v="23"/>
    <n v="353"/>
    <x v="1"/>
    <x v="1"/>
    <n v="0"/>
    <n v="4.1400000000000006"/>
    <n v="0.36"/>
    <n v="0"/>
  </r>
  <r>
    <n v="202600698"/>
    <s v="Pekarna Pečjak trgovina ŠENČUR "/>
    <x v="7"/>
    <x v="1"/>
    <s v="Sreda"/>
    <x v="0"/>
    <d v="2026-09-28T00:00:00"/>
    <x v="30"/>
    <x v="30"/>
    <n v="1"/>
    <s v="KOS"/>
    <n v="1"/>
    <n v="2"/>
    <n v="3"/>
    <n v="0"/>
    <n v="1"/>
    <n v="1"/>
    <n v="354"/>
    <x v="0"/>
    <x v="3"/>
    <n v="7.83"/>
    <n v="4.4950000000000001"/>
    <n v="0.87"/>
    <n v="1.3049999999999999"/>
  </r>
  <r>
    <n v="202600698"/>
    <s v="Pekarna Pečjak trgovina ŠENČUR "/>
    <x v="7"/>
    <x v="1"/>
    <s v="Sreda"/>
    <x v="0"/>
    <d v="2026-09-28T00:00:00"/>
    <x v="31"/>
    <x v="31"/>
    <n v="1"/>
    <s v="KOS"/>
    <n v="1"/>
    <n v="1"/>
    <n v="0"/>
    <n v="0"/>
    <n v="0"/>
    <n v="0"/>
    <n v="355"/>
    <x v="0"/>
    <x v="4"/>
    <n v="8.1999999999999993"/>
    <n v="0.2"/>
    <n v="0.8"/>
    <n v="0.89999999999999991"/>
  </r>
  <r>
    <n v="202600677"/>
    <m/>
    <x v="8"/>
    <x v="1"/>
    <s v="Sreda"/>
    <x v="0"/>
    <d v="2026-09-28T00:00:00"/>
    <x v="32"/>
    <x v="32"/>
    <n v="1"/>
    <s v="KOS"/>
    <n v="14"/>
    <n v="1"/>
    <n v="2"/>
    <n v="19"/>
    <n v="6"/>
    <n v="6"/>
    <n v="297"/>
    <x v="2"/>
    <x v="0"/>
    <m/>
    <m/>
    <m/>
    <m/>
  </r>
  <r>
    <n v="202600677"/>
    <m/>
    <x v="8"/>
    <x v="1"/>
    <s v="Sreda"/>
    <x v="0"/>
    <d v="2026-09-28T00:00:00"/>
    <x v="33"/>
    <x v="33"/>
    <n v="1"/>
    <s v="KOS"/>
    <n v="2"/>
    <n v="3"/>
    <n v="0"/>
    <n v="0"/>
    <n v="1"/>
    <n v="1"/>
    <n v="295"/>
    <x v="0"/>
    <x v="1"/>
    <n v="0"/>
    <n v="4.1400000000000006"/>
    <n v="0.36"/>
    <n v="0"/>
  </r>
  <r>
    <n v="202600677"/>
    <m/>
    <x v="8"/>
    <x v="1"/>
    <s v="Sreda"/>
    <x v="0"/>
    <d v="2026-09-28T00:00:00"/>
    <x v="3"/>
    <x v="3"/>
    <n v="1"/>
    <s v="KOS"/>
    <n v="23"/>
    <n v="1"/>
    <n v="1"/>
    <n v="22"/>
    <n v="-1"/>
    <n v="-1"/>
    <n v="296"/>
    <x v="3"/>
    <x v="3"/>
    <n v="7.83"/>
    <n v="4.4950000000000001"/>
    <n v="0.87"/>
    <n v="1.3049999999999999"/>
  </r>
  <r>
    <n v="202600535"/>
    <m/>
    <x v="9"/>
    <x v="1"/>
    <s v="Sreda"/>
    <x v="0"/>
    <d v="2026-09-28T00:00:00"/>
    <x v="34"/>
    <x v="34"/>
    <n v="30"/>
    <s v="KOS"/>
    <n v="70"/>
    <n v="1"/>
    <n v="0"/>
    <n v="70"/>
    <n v="1"/>
    <n v="1"/>
    <n v="51"/>
    <x v="2"/>
    <x v="8"/>
    <m/>
    <m/>
    <m/>
    <m/>
  </r>
  <r>
    <n v="202600733"/>
    <m/>
    <x v="9"/>
    <x v="2"/>
    <s v="Četrtek"/>
    <x v="0"/>
    <d v="2026-09-28T00:00:00"/>
    <x v="35"/>
    <x v="35"/>
    <n v="1"/>
    <s v="KOS"/>
    <n v="1"/>
    <n v="2"/>
    <n v="0"/>
    <n v="0"/>
    <n v="1"/>
    <n v="1"/>
    <n v="489"/>
    <x v="0"/>
    <x v="8"/>
    <m/>
    <m/>
    <m/>
    <m/>
  </r>
  <r>
    <n v="202600570"/>
    <m/>
    <x v="10"/>
    <x v="3"/>
    <s v="Petek"/>
    <x v="0"/>
    <d v="2026-09-28T00:00:00"/>
    <x v="15"/>
    <x v="15"/>
    <n v="2"/>
    <s v="KOS"/>
    <n v="47"/>
    <n v="18"/>
    <n v="6"/>
    <n v="50"/>
    <n v="-35"/>
    <n v="-35"/>
    <n v="155"/>
    <x v="3"/>
    <x v="0"/>
    <n v="0.6"/>
    <n v="0"/>
    <n v="0"/>
    <n v="0"/>
  </r>
  <r>
    <n v="202600570"/>
    <m/>
    <x v="10"/>
    <x v="3"/>
    <s v="Petek"/>
    <x v="0"/>
    <d v="2026-09-28T00:00:00"/>
    <x v="15"/>
    <x v="15"/>
    <n v="1"/>
    <s v="KOS"/>
    <n v="47"/>
    <n v="18"/>
    <n v="6"/>
    <n v="50"/>
    <n v="-35"/>
    <n v="-35"/>
    <n v="157"/>
    <x v="3"/>
    <x v="0"/>
    <n v="0.6"/>
    <n v="0"/>
    <n v="0"/>
    <n v="0"/>
  </r>
  <r>
    <n v="202600570"/>
    <m/>
    <x v="10"/>
    <x v="3"/>
    <s v="Petek"/>
    <x v="0"/>
    <d v="2026-09-28T00:00:00"/>
    <x v="1"/>
    <x v="1"/>
    <n v="2"/>
    <s v="KOS"/>
    <n v="39"/>
    <n v="4"/>
    <n v="12"/>
    <n v="60"/>
    <n v="23"/>
    <n v="23"/>
    <n v="153"/>
    <x v="1"/>
    <x v="1"/>
    <n v="0"/>
    <n v="4.1400000000000006"/>
    <n v="0.36"/>
    <n v="0"/>
  </r>
  <r>
    <n v="202600570"/>
    <m/>
    <x v="10"/>
    <x v="3"/>
    <s v="Petek"/>
    <x v="0"/>
    <d v="2026-09-28T00:00:00"/>
    <x v="36"/>
    <x v="36"/>
    <n v="1"/>
    <s v="KOS"/>
    <n v="1"/>
    <n v="0"/>
    <n v="0"/>
    <n v="3"/>
    <n v="2"/>
    <n v="2"/>
    <n v="156"/>
    <x v="2"/>
    <x v="3"/>
    <n v="7.83"/>
    <n v="4.4950000000000001"/>
    <n v="0.87"/>
    <n v="1.3049999999999999"/>
  </r>
  <r>
    <n v="202600570"/>
    <m/>
    <x v="10"/>
    <x v="3"/>
    <s v="Petek"/>
    <x v="0"/>
    <d v="2026-09-28T00:00:00"/>
    <x v="37"/>
    <x v="37"/>
    <n v="2"/>
    <s v="KOS"/>
    <n v="3"/>
    <n v="4"/>
    <n v="1"/>
    <n v="0"/>
    <n v="1"/>
    <n v="1"/>
    <n v="154"/>
    <x v="0"/>
    <x v="3"/>
    <n v="7.83"/>
    <n v="4.4950000000000001"/>
    <n v="0.87"/>
    <n v="1.3049999999999999"/>
  </r>
  <r>
    <n v="202600645"/>
    <m/>
    <x v="11"/>
    <x v="3"/>
    <s v="Petek"/>
    <x v="0"/>
    <d v="2026-09-28T00:00:00"/>
    <x v="11"/>
    <x v="11"/>
    <n v="1"/>
    <s v="KOS"/>
    <n v="12"/>
    <n v="3"/>
    <n v="1"/>
    <n v="9"/>
    <n v="0"/>
    <n v="0"/>
    <n v="257"/>
    <x v="1"/>
    <x v="0"/>
    <n v="0.6"/>
    <n v="0"/>
    <n v="0"/>
    <n v="0"/>
  </r>
  <r>
    <n v="202600645"/>
    <m/>
    <x v="11"/>
    <x v="3"/>
    <s v="Petek"/>
    <x v="0"/>
    <d v="2026-09-28T00:00:00"/>
    <x v="1"/>
    <x v="1"/>
    <n v="1"/>
    <s v="KOS"/>
    <n v="39"/>
    <n v="4"/>
    <n v="12"/>
    <n v="60"/>
    <n v="23"/>
    <n v="23"/>
    <n v="254"/>
    <x v="1"/>
    <x v="1"/>
    <n v="0"/>
    <n v="4.1400000000000006"/>
    <n v="0.36"/>
    <n v="0"/>
  </r>
  <r>
    <n v="202600645"/>
    <m/>
    <x v="11"/>
    <x v="3"/>
    <s v="Petek"/>
    <x v="0"/>
    <d v="2026-09-28T00:00:00"/>
    <x v="18"/>
    <x v="18"/>
    <n v="2"/>
    <s v="KOS"/>
    <n v="10"/>
    <n v="2"/>
    <n v="0"/>
    <n v="11"/>
    <n v="3"/>
    <n v="3"/>
    <n v="255"/>
    <x v="2"/>
    <x v="3"/>
    <n v="7.83"/>
    <n v="4.4950000000000001"/>
    <n v="0.87"/>
    <n v="1.3049999999999999"/>
  </r>
  <r>
    <n v="202600645"/>
    <m/>
    <x v="11"/>
    <x v="3"/>
    <s v="Petek"/>
    <x v="0"/>
    <d v="2026-09-28T00:00:00"/>
    <x v="14"/>
    <x v="14"/>
    <n v="1"/>
    <s v="KOS"/>
    <n v="14"/>
    <n v="0"/>
    <n v="2"/>
    <n v="16"/>
    <n v="2"/>
    <n v="2"/>
    <n v="256"/>
    <x v="2"/>
    <x v="6"/>
    <n v="0"/>
    <n v="4.5"/>
    <n v="0"/>
    <n v="0"/>
  </r>
  <r>
    <n v="202600640"/>
    <s v="MERCATOR SUPERMARKET ČRNOMELJ"/>
    <x v="0"/>
    <x v="3"/>
    <s v="Petek"/>
    <x v="0"/>
    <d v="2026-09-28T00:00:00"/>
    <x v="15"/>
    <x v="15"/>
    <n v="1"/>
    <s v="KOS"/>
    <n v="47"/>
    <n v="18"/>
    <n v="6"/>
    <n v="50"/>
    <n v="-35"/>
    <n v="-35"/>
    <n v="237"/>
    <x v="3"/>
    <x v="0"/>
    <n v="0.6"/>
    <n v="0"/>
    <n v="0"/>
    <n v="0"/>
  </r>
  <r>
    <n v="202600640"/>
    <s v="MERCATOR SUPERMARKET ČRNOMELJ"/>
    <x v="0"/>
    <x v="3"/>
    <s v="Petek"/>
    <x v="0"/>
    <d v="2026-09-28T00:00:00"/>
    <x v="38"/>
    <x v="38"/>
    <n v="1"/>
    <s v="KOS"/>
    <n v="3"/>
    <n v="0"/>
    <n v="0"/>
    <n v="3"/>
    <n v="0"/>
    <n v="0"/>
    <n v="235"/>
    <x v="2"/>
    <x v="3"/>
    <n v="7.83"/>
    <n v="4.4950000000000001"/>
    <n v="0.87"/>
    <n v="1.3049999999999999"/>
  </r>
  <r>
    <n v="202600640"/>
    <s v="MERCATOR SUPERMARKET ČRNOMELJ"/>
    <x v="0"/>
    <x v="3"/>
    <s v="Petek"/>
    <x v="0"/>
    <d v="2026-09-28T00:00:00"/>
    <x v="9"/>
    <x v="9"/>
    <n v="1"/>
    <s v="KOS"/>
    <n v="5"/>
    <n v="0"/>
    <n v="0"/>
    <n v="6"/>
    <n v="1"/>
    <n v="1"/>
    <n v="236"/>
    <x v="2"/>
    <x v="6"/>
    <n v="0"/>
    <n v="4.5"/>
    <n v="0"/>
    <n v="0"/>
  </r>
  <r>
    <n v="202600644"/>
    <m/>
    <x v="9"/>
    <x v="3"/>
    <s v="Petek"/>
    <x v="0"/>
    <d v="2026-09-28T00:00:00"/>
    <x v="39"/>
    <x v="39"/>
    <n v="1"/>
    <s v="KOS"/>
    <n v="12"/>
    <n v="9"/>
    <n v="1"/>
    <n v="5"/>
    <n v="2"/>
    <n v="2"/>
    <n v="248"/>
    <x v="1"/>
    <x v="0"/>
    <n v="0.6"/>
    <n v="0"/>
    <n v="0"/>
    <n v="0"/>
  </r>
  <r>
    <n v="202600644"/>
    <m/>
    <x v="9"/>
    <x v="3"/>
    <s v="Petek"/>
    <x v="0"/>
    <d v="2026-09-28T00:00:00"/>
    <x v="40"/>
    <x v="40"/>
    <n v="1"/>
    <s v="KOS"/>
    <n v="1"/>
    <n v="3"/>
    <n v="3"/>
    <n v="0"/>
    <n v="2"/>
    <n v="2"/>
    <n v="247"/>
    <x v="0"/>
    <x v="0"/>
    <n v="0.6"/>
    <n v="0"/>
    <n v="0"/>
    <n v="0"/>
  </r>
  <r>
    <n v="202600644"/>
    <m/>
    <x v="9"/>
    <x v="3"/>
    <s v="Petek"/>
    <x v="0"/>
    <d v="2026-09-28T00:00:00"/>
    <x v="41"/>
    <x v="41"/>
    <n v="1"/>
    <s v="KOS"/>
    <n v="1"/>
    <n v="2"/>
    <n v="0"/>
    <n v="0"/>
    <n v="1"/>
    <n v="1"/>
    <n v="242"/>
    <x v="0"/>
    <x v="1"/>
    <n v="0"/>
    <n v="4.1400000000000006"/>
    <n v="0.36"/>
    <n v="0"/>
  </r>
  <r>
    <n v="202600644"/>
    <m/>
    <x v="9"/>
    <x v="3"/>
    <s v="Petek"/>
    <x v="0"/>
    <d v="2026-09-28T00:00:00"/>
    <x v="42"/>
    <x v="42"/>
    <n v="1"/>
    <s v="KOS"/>
    <n v="15"/>
    <n v="3"/>
    <n v="0"/>
    <n v="13"/>
    <n v="1"/>
    <n v="1"/>
    <n v="249"/>
    <x v="1"/>
    <x v="1"/>
    <n v="0"/>
    <n v="4.1400000000000006"/>
    <n v="0.36"/>
    <n v="0"/>
  </r>
  <r>
    <n v="202600644"/>
    <m/>
    <x v="9"/>
    <x v="3"/>
    <s v="Petek"/>
    <x v="0"/>
    <d v="2026-09-28T00:00:00"/>
    <x v="43"/>
    <x v="43"/>
    <n v="2"/>
    <s v="KOS"/>
    <n v="8"/>
    <n v="2"/>
    <n v="0"/>
    <n v="8"/>
    <n v="2"/>
    <n v="2"/>
    <n v="244"/>
    <x v="2"/>
    <x v="5"/>
    <n v="6.2700000000000005"/>
    <n v="2.09"/>
    <n v="0.66500000000000004"/>
    <n v="0.47500000000000003"/>
  </r>
  <r>
    <n v="202600644"/>
    <m/>
    <x v="9"/>
    <x v="3"/>
    <s v="Petek"/>
    <x v="0"/>
    <d v="2026-09-28T00:00:00"/>
    <x v="44"/>
    <x v="44"/>
    <n v="1"/>
    <s v="KOS"/>
    <n v="9"/>
    <n v="0"/>
    <n v="0"/>
    <n v="11"/>
    <n v="2"/>
    <n v="2"/>
    <n v="253"/>
    <x v="2"/>
    <x v="3"/>
    <n v="7.83"/>
    <n v="4.4950000000000001"/>
    <n v="0.87"/>
    <n v="1.3049999999999999"/>
  </r>
  <r>
    <n v="202600644"/>
    <m/>
    <x v="9"/>
    <x v="3"/>
    <s v="Petek"/>
    <x v="0"/>
    <d v="2026-09-28T00:00:00"/>
    <x v="45"/>
    <x v="45"/>
    <n v="2"/>
    <s v="KOS"/>
    <n v="14"/>
    <n v="0"/>
    <n v="0"/>
    <n v="16"/>
    <n v="2"/>
    <n v="2"/>
    <n v="252"/>
    <x v="2"/>
    <x v="3"/>
    <n v="7.83"/>
    <n v="4.4950000000000001"/>
    <n v="0.87"/>
    <n v="1.3049999999999999"/>
  </r>
  <r>
    <n v="202600644"/>
    <m/>
    <x v="9"/>
    <x v="3"/>
    <s v="Petek"/>
    <x v="0"/>
    <d v="2026-09-28T00:00:00"/>
    <x v="46"/>
    <x v="46"/>
    <n v="1"/>
    <s v="KOS"/>
    <n v="1"/>
    <n v="0"/>
    <n v="0"/>
    <n v="1"/>
    <n v="0"/>
    <n v="0"/>
    <n v="246"/>
    <x v="2"/>
    <x v="2"/>
    <n v="4.34"/>
    <n v="1.68"/>
    <n v="0.42"/>
    <n v="0.56000000000000005"/>
  </r>
  <r>
    <n v="202600644"/>
    <m/>
    <x v="9"/>
    <x v="3"/>
    <s v="Petek"/>
    <x v="0"/>
    <d v="2026-09-28T00:00:00"/>
    <x v="47"/>
    <x v="47"/>
    <n v="1"/>
    <s v="KOS"/>
    <n v="1"/>
    <n v="1"/>
    <n v="0"/>
    <n v="0"/>
    <n v="0"/>
    <n v="0"/>
    <n v="243"/>
    <x v="0"/>
    <x v="6"/>
    <n v="0"/>
    <n v="4.5"/>
    <n v="0"/>
    <n v="0"/>
  </r>
  <r>
    <n v="202600644"/>
    <m/>
    <x v="9"/>
    <x v="3"/>
    <s v="Petek"/>
    <x v="0"/>
    <d v="2026-09-28T00:00:00"/>
    <x v="22"/>
    <x v="22"/>
    <n v="1"/>
    <s v="KOS"/>
    <n v="13"/>
    <n v="12"/>
    <n v="2"/>
    <n v="12"/>
    <n v="10"/>
    <n v="10"/>
    <n v="250"/>
    <x v="1"/>
    <x v="6"/>
    <n v="0"/>
    <n v="4.5"/>
    <n v="0"/>
    <n v="0"/>
  </r>
  <r>
    <n v="202600644"/>
    <m/>
    <x v="9"/>
    <x v="3"/>
    <s v="Petek"/>
    <x v="0"/>
    <d v="2026-09-28T00:00:00"/>
    <x v="14"/>
    <x v="14"/>
    <n v="1"/>
    <s v="KOS"/>
    <n v="14"/>
    <n v="0"/>
    <n v="2"/>
    <n v="16"/>
    <n v="2"/>
    <n v="2"/>
    <n v="251"/>
    <x v="2"/>
    <x v="6"/>
    <n v="0"/>
    <n v="4.5"/>
    <n v="0"/>
    <n v="0"/>
  </r>
  <r>
    <n v="202600644"/>
    <m/>
    <x v="9"/>
    <x v="3"/>
    <s v="Petek"/>
    <x v="0"/>
    <d v="2026-09-28T00:00:00"/>
    <x v="48"/>
    <x v="48"/>
    <n v="1"/>
    <s v="KOS"/>
    <n v="2"/>
    <n v="3"/>
    <n v="3"/>
    <n v="0"/>
    <n v="1"/>
    <n v="1"/>
    <n v="245"/>
    <x v="0"/>
    <x v="2"/>
    <n v="0"/>
    <n v="4.5"/>
    <n v="0"/>
    <n v="0"/>
  </r>
  <r>
    <n v="202600694"/>
    <m/>
    <x v="12"/>
    <x v="3"/>
    <s v="Petek"/>
    <x v="0"/>
    <d v="2026-09-28T00:00:00"/>
    <x v="49"/>
    <x v="49"/>
    <n v="5"/>
    <s v="KOS"/>
    <n v="5"/>
    <n v="0"/>
    <n v="0"/>
    <n v="5"/>
    <n v="0"/>
    <n v="0"/>
    <n v="341"/>
    <x v="2"/>
    <x v="8"/>
    <m/>
    <m/>
    <m/>
    <m/>
  </r>
  <r>
    <n v="202600727"/>
    <m/>
    <x v="13"/>
    <x v="4"/>
    <s v="Četrtek"/>
    <x v="1"/>
    <d v="2026-10-05T00:00:00"/>
    <x v="50"/>
    <x v="50"/>
    <n v="8"/>
    <s v="KOS"/>
    <n v="8"/>
    <n v="6"/>
    <n v="0"/>
    <n v="0"/>
    <n v="-2"/>
    <n v="-2"/>
    <n v="483"/>
    <x v="3"/>
    <x v="6"/>
    <n v="0"/>
    <n v="0"/>
    <n v="0"/>
    <n v="0"/>
  </r>
  <r>
    <n v="202600727"/>
    <m/>
    <x v="13"/>
    <x v="4"/>
    <s v="Četrtek"/>
    <x v="1"/>
    <d v="2026-10-05T00:00:00"/>
    <x v="51"/>
    <x v="51"/>
    <n v="8"/>
    <s v="KOS"/>
    <n v="8"/>
    <n v="0"/>
    <n v="0"/>
    <n v="0"/>
    <n v="-8"/>
    <n v="-8"/>
    <n v="482"/>
    <x v="3"/>
    <x v="9"/>
    <n v="0.5"/>
    <n v="0"/>
    <n v="0"/>
    <n v="0"/>
  </r>
  <r>
    <n v="202600697"/>
    <m/>
    <x v="14"/>
    <x v="5"/>
    <s v="Petek"/>
    <x v="1"/>
    <d v="2026-10-05T00:00:00"/>
    <x v="15"/>
    <x v="15"/>
    <n v="1"/>
    <s v="KOS"/>
    <n v="47"/>
    <n v="18"/>
    <n v="6"/>
    <n v="50"/>
    <n v="-35"/>
    <n v="-35"/>
    <n v="350"/>
    <x v="3"/>
    <x v="0"/>
    <n v="0.6"/>
    <n v="0"/>
    <n v="0"/>
    <n v="0"/>
  </r>
  <r>
    <n v="202600697"/>
    <m/>
    <x v="14"/>
    <x v="5"/>
    <s v="Petek"/>
    <x v="1"/>
    <d v="2026-10-05T00:00:00"/>
    <x v="33"/>
    <x v="33"/>
    <n v="1"/>
    <s v="KOS"/>
    <n v="2"/>
    <n v="3"/>
    <n v="0"/>
    <n v="0"/>
    <n v="1"/>
    <n v="1"/>
    <n v="347"/>
    <x v="0"/>
    <x v="1"/>
    <n v="0"/>
    <n v="4.1400000000000006"/>
    <n v="0.36"/>
    <n v="0"/>
  </r>
  <r>
    <n v="202600697"/>
    <m/>
    <x v="14"/>
    <x v="5"/>
    <s v="Petek"/>
    <x v="1"/>
    <d v="2026-10-05T00:00:00"/>
    <x v="37"/>
    <x v="37"/>
    <n v="1"/>
    <s v="KOS"/>
    <n v="3"/>
    <n v="4"/>
    <n v="1"/>
    <n v="0"/>
    <n v="1"/>
    <n v="1"/>
    <n v="348"/>
    <x v="0"/>
    <x v="3"/>
    <n v="7.83"/>
    <n v="4.4950000000000001"/>
    <n v="0.87"/>
    <n v="1.3049999999999999"/>
  </r>
  <r>
    <n v="202600680"/>
    <m/>
    <x v="15"/>
    <x v="6"/>
    <s v="Sobota"/>
    <x v="1"/>
    <d v="2026-10-05T00:00:00"/>
    <x v="52"/>
    <x v="52"/>
    <n v="1"/>
    <s v="KOS"/>
    <n v="3"/>
    <n v="2"/>
    <n v="0"/>
    <n v="0"/>
    <n v="-1"/>
    <n v="-1"/>
    <n v="304"/>
    <x v="3"/>
    <x v="10"/>
    <n v="4.3499999999999996"/>
    <n v="1.05"/>
    <n v="0.89999999999999991"/>
    <n v="1.2750000000000001"/>
  </r>
  <r>
    <n v="202600710"/>
    <s v="Objekt P-3221 KARLOVAC"/>
    <x v="16"/>
    <x v="7"/>
    <s v="Ponedeljek"/>
    <x v="2"/>
    <d v="2026-10-12T00:00:00"/>
    <x v="15"/>
    <x v="15"/>
    <n v="1"/>
    <s v="KOS"/>
    <n v="47"/>
    <n v="18"/>
    <n v="6"/>
    <n v="50"/>
    <n v="-35"/>
    <n v="-35"/>
    <n v="413"/>
    <x v="3"/>
    <x v="0"/>
    <n v="0.6"/>
    <n v="0"/>
    <n v="0"/>
    <n v="0"/>
  </r>
  <r>
    <n v="202600712"/>
    <s v="Objekt P-714 Varaždin"/>
    <x v="16"/>
    <x v="7"/>
    <s v="Ponedeljek"/>
    <x v="2"/>
    <d v="2026-10-12T00:00:00"/>
    <x v="16"/>
    <x v="16"/>
    <n v="1"/>
    <s v="KOS"/>
    <n v="5"/>
    <n v="8"/>
    <n v="2"/>
    <n v="0"/>
    <n v="3"/>
    <n v="3"/>
    <n v="418"/>
    <x v="0"/>
    <x v="1"/>
    <n v="0"/>
    <n v="4.1400000000000006"/>
    <n v="0.36"/>
    <n v="0"/>
  </r>
  <r>
    <n v="202600710"/>
    <s v="Objekt P-3221 KARLOVAC"/>
    <x v="16"/>
    <x v="7"/>
    <s v="Ponedeljek"/>
    <x v="2"/>
    <d v="2026-10-12T00:00:00"/>
    <x v="1"/>
    <x v="1"/>
    <n v="1"/>
    <s v="KOS"/>
    <n v="39"/>
    <n v="4"/>
    <n v="12"/>
    <n v="60"/>
    <n v="23"/>
    <n v="23"/>
    <n v="410"/>
    <x v="1"/>
    <x v="1"/>
    <n v="0"/>
    <n v="4.1400000000000006"/>
    <n v="0.36"/>
    <n v="0"/>
  </r>
  <r>
    <n v="202600710"/>
    <s v="Objekt P-3221 KARLOVAC"/>
    <x v="16"/>
    <x v="7"/>
    <s v="Ponedeljek"/>
    <x v="2"/>
    <d v="2026-10-12T00:00:00"/>
    <x v="53"/>
    <x v="53"/>
    <n v="1"/>
    <s v="KOS"/>
    <n v="11"/>
    <n v="1"/>
    <n v="1"/>
    <n v="15"/>
    <n v="5"/>
    <n v="5"/>
    <n v="411"/>
    <x v="2"/>
    <x v="3"/>
    <n v="7.83"/>
    <n v="4.4950000000000001"/>
    <n v="0.87"/>
    <n v="1.3049999999999999"/>
  </r>
  <r>
    <n v="202600712"/>
    <s v="Objekt P-714 Varaždin"/>
    <x v="16"/>
    <x v="7"/>
    <s v="Ponedeljek"/>
    <x v="2"/>
    <d v="2026-10-12T00:00:00"/>
    <x v="54"/>
    <x v="54"/>
    <n v="1"/>
    <s v="KOS"/>
    <n v="1"/>
    <n v="1"/>
    <n v="0"/>
    <n v="0"/>
    <n v="0"/>
    <n v="0"/>
    <n v="419"/>
    <x v="0"/>
    <x v="2"/>
    <n v="4.34"/>
    <n v="1.68"/>
    <n v="0.42"/>
    <n v="0.56000000000000005"/>
  </r>
  <r>
    <n v="202600712"/>
    <s v="Objekt P-714 Varaždin"/>
    <x v="16"/>
    <x v="7"/>
    <s v="Ponedeljek"/>
    <x v="2"/>
    <d v="2026-10-12T00:00:00"/>
    <x v="21"/>
    <x v="21"/>
    <n v="1"/>
    <s v="KOS"/>
    <n v="5"/>
    <n v="5"/>
    <n v="2"/>
    <n v="3"/>
    <n v="3"/>
    <n v="3"/>
    <n v="420"/>
    <x v="0"/>
    <x v="2"/>
    <n v="0"/>
    <n v="4.5"/>
    <n v="0"/>
    <n v="0"/>
  </r>
  <r>
    <n v="202600710"/>
    <s v="Objekt P-3221 KARLOVAC"/>
    <x v="16"/>
    <x v="7"/>
    <s v="Ponedeljek"/>
    <x v="2"/>
    <d v="2026-10-12T00:00:00"/>
    <x v="23"/>
    <x v="23"/>
    <n v="1"/>
    <s v="KOS"/>
    <n v="12"/>
    <n v="1"/>
    <n v="2"/>
    <n v="14"/>
    <n v="3"/>
    <n v="3"/>
    <n v="412"/>
    <x v="2"/>
    <x v="6"/>
    <n v="0"/>
    <n v="4.5"/>
    <n v="0"/>
    <n v="0"/>
  </r>
  <r>
    <n v="202600705"/>
    <m/>
    <x v="17"/>
    <x v="8"/>
    <s v="Torek"/>
    <x v="2"/>
    <d v="2026-10-12T00:00:00"/>
    <x v="32"/>
    <x v="32"/>
    <n v="7"/>
    <s v="KOS"/>
    <n v="14"/>
    <n v="1"/>
    <n v="2"/>
    <n v="19"/>
    <n v="6"/>
    <n v="6"/>
    <n v="369"/>
    <x v="2"/>
    <x v="0"/>
    <m/>
    <m/>
    <m/>
    <m/>
  </r>
  <r>
    <n v="202600705"/>
    <m/>
    <x v="17"/>
    <x v="8"/>
    <s v="Torek"/>
    <x v="2"/>
    <d v="2026-10-12T00:00:00"/>
    <x v="3"/>
    <x v="3"/>
    <n v="7"/>
    <s v="KOS"/>
    <n v="23"/>
    <n v="1"/>
    <n v="1"/>
    <n v="22"/>
    <n v="-1"/>
    <n v="-1"/>
    <n v="367"/>
    <x v="3"/>
    <x v="3"/>
    <n v="7.83"/>
    <n v="4.4950000000000001"/>
    <n v="0.87"/>
    <n v="1.3049999999999999"/>
  </r>
  <r>
    <n v="202600705"/>
    <m/>
    <x v="17"/>
    <x v="8"/>
    <s v="Torek"/>
    <x v="2"/>
    <d v="2026-10-12T00:00:00"/>
    <x v="55"/>
    <x v="55"/>
    <n v="7"/>
    <s v="KOS"/>
    <n v="15"/>
    <n v="1"/>
    <n v="3"/>
    <n v="17"/>
    <n v="3"/>
    <n v="3"/>
    <n v="368"/>
    <x v="2"/>
    <x v="4"/>
    <n v="8.1999999999999993"/>
    <n v="0.2"/>
    <n v="0.8"/>
    <n v="0.89999999999999991"/>
  </r>
  <r>
    <n v="202600615"/>
    <s v="KONZUM P-7407 - RIJEKA ŽABICA"/>
    <x v="18"/>
    <x v="9"/>
    <s v="Četrtek"/>
    <x v="2"/>
    <d v="2026-10-12T00:00:00"/>
    <x v="15"/>
    <x v="15"/>
    <n v="1"/>
    <s v="KOS"/>
    <n v="47"/>
    <n v="18"/>
    <n v="6"/>
    <n v="50"/>
    <n v="-35"/>
    <n v="-35"/>
    <n v="220"/>
    <x v="3"/>
    <x v="0"/>
    <n v="0.6"/>
    <n v="0"/>
    <n v="0"/>
    <n v="0"/>
  </r>
  <r>
    <n v="202600615"/>
    <s v="KONZUM P-7407 - RIJEKA ŽABICA"/>
    <x v="18"/>
    <x v="9"/>
    <s v="Četrtek"/>
    <x v="2"/>
    <d v="2026-10-12T00:00:00"/>
    <x v="15"/>
    <x v="15"/>
    <n v="1"/>
    <s v="KOS"/>
    <n v="47"/>
    <n v="18"/>
    <n v="6"/>
    <n v="50"/>
    <n v="-35"/>
    <n v="-35"/>
    <n v="209"/>
    <x v="3"/>
    <x v="0"/>
    <n v="0.6"/>
    <n v="0"/>
    <n v="0"/>
    <n v="0"/>
  </r>
  <r>
    <n v="202600615"/>
    <s v="KONZUM P-7407 - RIJEKA ŽABICA"/>
    <x v="18"/>
    <x v="9"/>
    <s v="Četrtek"/>
    <x v="2"/>
    <d v="2026-10-12T00:00:00"/>
    <x v="15"/>
    <x v="15"/>
    <n v="1"/>
    <s v="KOS"/>
    <n v="47"/>
    <n v="18"/>
    <n v="6"/>
    <n v="50"/>
    <n v="-35"/>
    <n v="-35"/>
    <n v="211"/>
    <x v="3"/>
    <x v="0"/>
    <n v="0.6"/>
    <n v="0"/>
    <n v="0"/>
    <n v="0"/>
  </r>
  <r>
    <n v="202600615"/>
    <s v="KONZUM P-7407 - RIJEKA ŽABICA"/>
    <x v="18"/>
    <x v="9"/>
    <s v="Četrtek"/>
    <x v="2"/>
    <d v="2026-10-12T00:00:00"/>
    <x v="1"/>
    <x v="1"/>
    <n v="1"/>
    <s v="KOS"/>
    <n v="39"/>
    <n v="4"/>
    <n v="12"/>
    <n v="60"/>
    <n v="23"/>
    <n v="23"/>
    <n v="203"/>
    <x v="1"/>
    <x v="1"/>
    <n v="0"/>
    <n v="4.1400000000000006"/>
    <n v="0.36"/>
    <n v="0"/>
  </r>
  <r>
    <n v="202600615"/>
    <s v="KONZUM P-7407 - RIJEKA ŽABICA"/>
    <x v="18"/>
    <x v="9"/>
    <s v="Četrtek"/>
    <x v="2"/>
    <d v="2026-10-12T00:00:00"/>
    <x v="1"/>
    <x v="1"/>
    <n v="1"/>
    <s v="KOS"/>
    <n v="39"/>
    <n v="4"/>
    <n v="12"/>
    <n v="60"/>
    <n v="23"/>
    <n v="23"/>
    <n v="217"/>
    <x v="1"/>
    <x v="1"/>
    <n v="0"/>
    <n v="4.1400000000000006"/>
    <n v="0.36"/>
    <n v="0"/>
  </r>
  <r>
    <n v="202600615"/>
    <s v="KONZUM P-7407 - RIJEKA ŽABICA"/>
    <x v="18"/>
    <x v="9"/>
    <s v="Četrtek"/>
    <x v="2"/>
    <d v="2026-10-12T00:00:00"/>
    <x v="17"/>
    <x v="56"/>
    <n v="1"/>
    <s v="KOS"/>
    <n v="10"/>
    <n v="3"/>
    <n v="0"/>
    <n v="7"/>
    <n v="0"/>
    <n v="0"/>
    <n v="213"/>
    <x v="1"/>
    <x v="3"/>
    <n v="7.83"/>
    <n v="4.4950000000000001"/>
    <n v="0.87"/>
    <n v="1.3049999999999999"/>
  </r>
  <r>
    <n v="202600615"/>
    <s v="KONZUM P-7407 - RIJEKA ŽABICA"/>
    <x v="18"/>
    <x v="9"/>
    <s v="Četrtek"/>
    <x v="2"/>
    <d v="2026-10-12T00:00:00"/>
    <x v="38"/>
    <x v="38"/>
    <n v="1"/>
    <s v="KOS"/>
    <n v="3"/>
    <n v="0"/>
    <n v="0"/>
    <n v="3"/>
    <n v="0"/>
    <n v="0"/>
    <n v="202"/>
    <x v="2"/>
    <x v="3"/>
    <n v="7.83"/>
    <n v="4.4950000000000001"/>
    <n v="0.87"/>
    <n v="1.3049999999999999"/>
  </r>
  <r>
    <n v="202600615"/>
    <s v="KONZUM P-7407 - RIJEKA ŽABICA"/>
    <x v="18"/>
    <x v="9"/>
    <s v="Četrtek"/>
    <x v="2"/>
    <d v="2026-10-12T00:00:00"/>
    <x v="56"/>
    <x v="57"/>
    <n v="1"/>
    <s v="KOS"/>
    <n v="1"/>
    <n v="2"/>
    <n v="0"/>
    <n v="0"/>
    <n v="1"/>
    <n v="1"/>
    <n v="218"/>
    <x v="0"/>
    <x v="3"/>
    <n v="7.83"/>
    <n v="4.4950000000000001"/>
    <n v="0.87"/>
    <n v="1.3049999999999999"/>
  </r>
  <r>
    <n v="202600615"/>
    <s v="KONZUM P-7407 - RIJEKA ŽABICA"/>
    <x v="18"/>
    <x v="9"/>
    <s v="Četrtek"/>
    <x v="2"/>
    <d v="2026-10-12T00:00:00"/>
    <x v="22"/>
    <x v="22"/>
    <n v="1"/>
    <s v="KOS"/>
    <n v="13"/>
    <n v="12"/>
    <n v="2"/>
    <n v="12"/>
    <n v="10"/>
    <n v="10"/>
    <n v="219"/>
    <x v="1"/>
    <x v="6"/>
    <n v="0"/>
    <n v="4.5"/>
    <n v="0"/>
    <n v="0"/>
  </r>
  <r>
    <n v="202600615"/>
    <s v="KONZUM P-7407 - RIJEKA ŽABICA"/>
    <x v="18"/>
    <x v="9"/>
    <s v="Četrtek"/>
    <x v="2"/>
    <d v="2026-10-12T00:00:00"/>
    <x v="23"/>
    <x v="23"/>
    <n v="1"/>
    <s v="KOS"/>
    <n v="12"/>
    <n v="1"/>
    <n v="2"/>
    <n v="14"/>
    <n v="3"/>
    <n v="3"/>
    <n v="210"/>
    <x v="2"/>
    <x v="6"/>
    <n v="0"/>
    <n v="4.5"/>
    <n v="0"/>
    <n v="0"/>
  </r>
  <r>
    <n v="202600615"/>
    <s v="KONZUM P-7407 - RIJEKA ŽABICA"/>
    <x v="18"/>
    <x v="9"/>
    <s v="Četrtek"/>
    <x v="2"/>
    <d v="2026-10-12T00:00:00"/>
    <x v="9"/>
    <x v="9"/>
    <n v="1"/>
    <s v="KOS"/>
    <n v="5"/>
    <n v="0"/>
    <n v="0"/>
    <n v="6"/>
    <n v="1"/>
    <n v="1"/>
    <n v="204"/>
    <x v="2"/>
    <x v="6"/>
    <n v="0"/>
    <n v="4.5"/>
    <n v="0"/>
    <n v="0"/>
  </r>
  <r>
    <n v="202600654"/>
    <s v="MERCATOR SM BLED"/>
    <x v="0"/>
    <x v="9"/>
    <s v="Četrtek"/>
    <x v="2"/>
    <d v="2026-10-12T00:00:00"/>
    <x v="24"/>
    <x v="24"/>
    <n v="1"/>
    <s v="KOS"/>
    <n v="11"/>
    <n v="6"/>
    <n v="0"/>
    <n v="5"/>
    <n v="0"/>
    <n v="0"/>
    <n v="260"/>
    <x v="1"/>
    <x v="7"/>
    <m/>
    <m/>
    <m/>
    <m/>
  </r>
  <r>
    <n v="202600657"/>
    <s v="MERCATOR MARKET PIVKA"/>
    <x v="0"/>
    <x v="9"/>
    <s v="Četrtek"/>
    <x v="2"/>
    <d v="2026-10-12T00:00:00"/>
    <x v="24"/>
    <x v="24"/>
    <n v="1"/>
    <s v="KOS"/>
    <n v="11"/>
    <n v="6"/>
    <n v="0"/>
    <n v="5"/>
    <n v="0"/>
    <n v="0"/>
    <n v="266"/>
    <x v="1"/>
    <x v="7"/>
    <m/>
    <m/>
    <m/>
    <m/>
  </r>
  <r>
    <n v="202600706"/>
    <m/>
    <x v="19"/>
    <x v="9"/>
    <s v="Četrtek"/>
    <x v="2"/>
    <d v="2026-10-12T00:00:00"/>
    <x v="57"/>
    <x v="58"/>
    <n v="1"/>
    <s v="KOS"/>
    <n v="1"/>
    <n v="0"/>
    <n v="3"/>
    <n v="0"/>
    <n v="-1"/>
    <n v="-1"/>
    <n v="384"/>
    <x v="3"/>
    <x v="1"/>
    <n v="0"/>
    <n v="4.1400000000000006"/>
    <n v="0.36"/>
    <n v="0"/>
  </r>
  <r>
    <n v="202600706"/>
    <m/>
    <x v="19"/>
    <x v="9"/>
    <s v="Četrtek"/>
    <x v="2"/>
    <d v="2026-10-12T00:00:00"/>
    <x v="1"/>
    <x v="1"/>
    <n v="1"/>
    <s v="KOS"/>
    <n v="39"/>
    <n v="4"/>
    <n v="12"/>
    <n v="60"/>
    <n v="23"/>
    <n v="23"/>
    <n v="372"/>
    <x v="1"/>
    <x v="1"/>
    <n v="0"/>
    <n v="4.1400000000000006"/>
    <n v="0.36"/>
    <n v="0"/>
  </r>
  <r>
    <n v="202600706"/>
    <m/>
    <x v="19"/>
    <x v="9"/>
    <s v="Četrtek"/>
    <x v="2"/>
    <d v="2026-10-12T00:00:00"/>
    <x v="1"/>
    <x v="1"/>
    <n v="1"/>
    <s v="KOS"/>
    <n v="39"/>
    <n v="4"/>
    <n v="12"/>
    <n v="60"/>
    <n v="23"/>
    <n v="23"/>
    <n v="380"/>
    <x v="1"/>
    <x v="1"/>
    <n v="0"/>
    <n v="4.1400000000000006"/>
    <n v="0.36"/>
    <n v="0"/>
  </r>
  <r>
    <n v="202600706"/>
    <m/>
    <x v="19"/>
    <x v="9"/>
    <s v="Četrtek"/>
    <x v="2"/>
    <d v="2026-10-12T00:00:00"/>
    <x v="58"/>
    <x v="59"/>
    <n v="1"/>
    <s v="KOS"/>
    <n v="2"/>
    <n v="0"/>
    <n v="0"/>
    <n v="2"/>
    <n v="0"/>
    <n v="0"/>
    <n v="376"/>
    <x v="2"/>
    <x v="1"/>
    <n v="0"/>
    <n v="4.1400000000000006"/>
    <n v="0.36"/>
    <n v="0"/>
  </r>
  <r>
    <n v="202600706"/>
    <m/>
    <x v="19"/>
    <x v="9"/>
    <s v="Četrtek"/>
    <x v="2"/>
    <d v="2026-10-12T00:00:00"/>
    <x v="59"/>
    <x v="60"/>
    <n v="1"/>
    <s v="KOS"/>
    <n v="2"/>
    <n v="0"/>
    <n v="2"/>
    <n v="2"/>
    <n v="0"/>
    <n v="0"/>
    <n v="382"/>
    <x v="2"/>
    <x v="5"/>
    <n v="6.2700000000000005"/>
    <n v="2.09"/>
    <n v="0.66500000000000004"/>
    <n v="0.47500000000000003"/>
  </r>
  <r>
    <n v="202600706"/>
    <m/>
    <x v="19"/>
    <x v="9"/>
    <s v="Četrtek"/>
    <x v="2"/>
    <d v="2026-10-12T00:00:00"/>
    <x v="60"/>
    <x v="61"/>
    <n v="1"/>
    <s v="KOS"/>
    <n v="1"/>
    <n v="0"/>
    <n v="0"/>
    <n v="2"/>
    <n v="1"/>
    <n v="1"/>
    <n v="370"/>
    <x v="2"/>
    <x v="3"/>
    <n v="7.83"/>
    <n v="4.4950000000000001"/>
    <n v="0.87"/>
    <n v="1.3049999999999999"/>
  </r>
  <r>
    <n v="202600706"/>
    <m/>
    <x v="19"/>
    <x v="9"/>
    <s v="Četrtek"/>
    <x v="2"/>
    <d v="2026-10-12T00:00:00"/>
    <x v="12"/>
    <x v="12"/>
    <n v="1"/>
    <s v="KOS"/>
    <n v="4"/>
    <n v="1"/>
    <n v="3"/>
    <n v="2"/>
    <n v="-1"/>
    <n v="-1"/>
    <n v="374"/>
    <x v="3"/>
    <x v="3"/>
    <n v="7.83"/>
    <n v="4.4950000000000001"/>
    <n v="0.87"/>
    <n v="1.3049999999999999"/>
  </r>
  <r>
    <n v="202600706"/>
    <m/>
    <x v="19"/>
    <x v="9"/>
    <s v="Četrtek"/>
    <x v="2"/>
    <d v="2026-10-12T00:00:00"/>
    <x v="12"/>
    <x v="12"/>
    <n v="1"/>
    <s v="KOS"/>
    <n v="4"/>
    <n v="1"/>
    <n v="3"/>
    <n v="2"/>
    <n v="-1"/>
    <n v="-1"/>
    <n v="373"/>
    <x v="3"/>
    <x v="3"/>
    <n v="7.83"/>
    <n v="4.4950000000000001"/>
    <n v="0.87"/>
    <n v="1.3049999999999999"/>
  </r>
  <r>
    <n v="202600706"/>
    <m/>
    <x v="19"/>
    <x v="9"/>
    <s v="Četrtek"/>
    <x v="2"/>
    <d v="2026-10-12T00:00:00"/>
    <x v="61"/>
    <x v="62"/>
    <n v="1"/>
    <s v="KOS"/>
    <n v="1"/>
    <n v="0"/>
    <n v="1"/>
    <n v="0"/>
    <n v="-1"/>
    <n v="-1"/>
    <n v="385"/>
    <x v="3"/>
    <x v="2"/>
    <n v="4.34"/>
    <n v="1.68"/>
    <n v="0.42"/>
    <n v="0.56000000000000005"/>
  </r>
  <r>
    <n v="202600706"/>
    <m/>
    <x v="19"/>
    <x v="9"/>
    <s v="Četrtek"/>
    <x v="2"/>
    <d v="2026-10-12T00:00:00"/>
    <x v="62"/>
    <x v="63"/>
    <n v="1"/>
    <s v="KOS"/>
    <n v="1"/>
    <n v="1"/>
    <n v="0"/>
    <n v="0"/>
    <n v="0"/>
    <n v="0"/>
    <n v="377"/>
    <x v="0"/>
    <x v="3"/>
    <n v="7.83"/>
    <n v="4.4950000000000001"/>
    <n v="0.87"/>
    <n v="1.3049999999999999"/>
  </r>
  <r>
    <n v="202600706"/>
    <m/>
    <x v="19"/>
    <x v="9"/>
    <s v="Četrtek"/>
    <x v="2"/>
    <d v="2026-10-12T00:00:00"/>
    <x v="3"/>
    <x v="3"/>
    <n v="1"/>
    <s v="KOS"/>
    <n v="23"/>
    <n v="1"/>
    <n v="1"/>
    <n v="22"/>
    <n v="-1"/>
    <n v="-1"/>
    <n v="381"/>
    <x v="3"/>
    <x v="3"/>
    <n v="7.83"/>
    <n v="4.4950000000000001"/>
    <n v="0.87"/>
    <n v="1.3049999999999999"/>
  </r>
  <r>
    <n v="202600706"/>
    <m/>
    <x v="19"/>
    <x v="9"/>
    <s v="Četrtek"/>
    <x v="2"/>
    <d v="2026-10-12T00:00:00"/>
    <x v="63"/>
    <x v="64"/>
    <n v="1"/>
    <s v="KOS"/>
    <n v="1"/>
    <n v="0"/>
    <n v="0"/>
    <n v="1"/>
    <n v="0"/>
    <n v="0"/>
    <n v="378"/>
    <x v="2"/>
    <x v="3"/>
    <n v="7.83"/>
    <n v="4.4950000000000001"/>
    <n v="0.87"/>
    <n v="1.3049999999999999"/>
  </r>
  <r>
    <n v="202600706"/>
    <m/>
    <x v="19"/>
    <x v="9"/>
    <s v="Četrtek"/>
    <x v="2"/>
    <d v="2026-10-12T00:00:00"/>
    <x v="64"/>
    <x v="65"/>
    <n v="1"/>
    <s v="KOS"/>
    <n v="1"/>
    <n v="1"/>
    <n v="1"/>
    <n v="0"/>
    <n v="0"/>
    <n v="0"/>
    <n v="387"/>
    <x v="0"/>
    <x v="2"/>
    <n v="0"/>
    <n v="4.5"/>
    <n v="0"/>
    <n v="0"/>
  </r>
  <r>
    <n v="202600706"/>
    <m/>
    <x v="19"/>
    <x v="9"/>
    <s v="Četrtek"/>
    <x v="2"/>
    <d v="2026-10-12T00:00:00"/>
    <x v="65"/>
    <x v="66"/>
    <n v="1"/>
    <s v="KOS"/>
    <n v="2"/>
    <n v="1"/>
    <n v="0"/>
    <n v="2"/>
    <n v="1"/>
    <n v="1"/>
    <n v="379"/>
    <x v="2"/>
    <x v="6"/>
    <m/>
    <m/>
    <m/>
    <m/>
  </r>
  <r>
    <n v="202600706"/>
    <m/>
    <x v="19"/>
    <x v="9"/>
    <s v="Četrtek"/>
    <x v="2"/>
    <d v="2026-10-12T00:00:00"/>
    <x v="14"/>
    <x v="14"/>
    <n v="1"/>
    <s v="KOS"/>
    <n v="14"/>
    <n v="0"/>
    <n v="2"/>
    <n v="16"/>
    <n v="2"/>
    <n v="2"/>
    <n v="375"/>
    <x v="2"/>
    <x v="6"/>
    <n v="0"/>
    <n v="4.5"/>
    <n v="0"/>
    <n v="0"/>
  </r>
  <r>
    <n v="202600706"/>
    <m/>
    <x v="19"/>
    <x v="9"/>
    <s v="Četrtek"/>
    <x v="2"/>
    <d v="2026-10-12T00:00:00"/>
    <x v="9"/>
    <x v="9"/>
    <n v="1"/>
    <s v="KOS"/>
    <n v="5"/>
    <n v="0"/>
    <n v="0"/>
    <n v="6"/>
    <n v="1"/>
    <n v="1"/>
    <n v="371"/>
    <x v="2"/>
    <x v="6"/>
    <n v="0"/>
    <n v="4.5"/>
    <n v="0"/>
    <n v="0"/>
  </r>
  <r>
    <n v="202600706"/>
    <m/>
    <x v="19"/>
    <x v="9"/>
    <s v="Četrtek"/>
    <x v="2"/>
    <d v="2026-10-12T00:00:00"/>
    <x v="66"/>
    <x v="67"/>
    <n v="1"/>
    <s v="KOS"/>
    <n v="1"/>
    <n v="0"/>
    <n v="1"/>
    <n v="0"/>
    <n v="-1"/>
    <n v="-1"/>
    <n v="386"/>
    <x v="3"/>
    <x v="2"/>
    <n v="0"/>
    <n v="4.5"/>
    <n v="0"/>
    <n v="0"/>
  </r>
  <r>
    <n v="202600706"/>
    <m/>
    <x v="19"/>
    <x v="9"/>
    <s v="Četrtek"/>
    <x v="2"/>
    <d v="2026-10-12T00:00:00"/>
    <x v="67"/>
    <x v="68"/>
    <n v="1"/>
    <s v="KOS"/>
    <n v="4"/>
    <n v="6"/>
    <n v="4"/>
    <n v="0"/>
    <n v="2"/>
    <n v="2"/>
    <n v="383"/>
    <x v="0"/>
    <x v="4"/>
    <n v="8.1999999999999993"/>
    <n v="0.2"/>
    <n v="0.8"/>
    <n v="0.89999999999999991"/>
  </r>
  <r>
    <n v="202600664"/>
    <m/>
    <x v="9"/>
    <x v="10"/>
    <s v="Petek"/>
    <x v="2"/>
    <d v="2026-10-12T00:00:00"/>
    <x v="42"/>
    <x v="42"/>
    <n v="2"/>
    <s v="KOS"/>
    <n v="15"/>
    <n v="3"/>
    <n v="0"/>
    <n v="13"/>
    <n v="1"/>
    <n v="1"/>
    <n v="282"/>
    <x v="1"/>
    <x v="1"/>
    <n v="0"/>
    <n v="4.1400000000000006"/>
    <n v="0.36"/>
    <n v="0"/>
  </r>
  <r>
    <n v="202600664"/>
    <m/>
    <x v="9"/>
    <x v="10"/>
    <s v="Petek"/>
    <x v="2"/>
    <d v="2026-10-12T00:00:00"/>
    <x v="68"/>
    <x v="69"/>
    <n v="2"/>
    <s v="KOS"/>
    <n v="4"/>
    <n v="1"/>
    <n v="0"/>
    <n v="6"/>
    <n v="3"/>
    <n v="3"/>
    <n v="281"/>
    <x v="2"/>
    <x v="1"/>
    <n v="0"/>
    <n v="4.1400000000000006"/>
    <n v="0.36"/>
    <n v="0"/>
  </r>
  <r>
    <n v="202600664"/>
    <m/>
    <x v="9"/>
    <x v="10"/>
    <s v="Petek"/>
    <x v="2"/>
    <d v="2026-10-12T00:00:00"/>
    <x v="69"/>
    <x v="70"/>
    <n v="2"/>
    <s v="KOS"/>
    <n v="4"/>
    <n v="0"/>
    <n v="0"/>
    <n v="4"/>
    <n v="0"/>
    <n v="0"/>
    <n v="278"/>
    <x v="2"/>
    <x v="3"/>
    <n v="7.83"/>
    <n v="4.4950000000000001"/>
    <n v="0.87"/>
    <n v="1.3049999999999999"/>
  </r>
  <r>
    <n v="202600664"/>
    <m/>
    <x v="9"/>
    <x v="10"/>
    <s v="Petek"/>
    <x v="2"/>
    <d v="2026-10-12T00:00:00"/>
    <x v="44"/>
    <x v="44"/>
    <n v="2"/>
    <s v="KOS"/>
    <n v="9"/>
    <n v="0"/>
    <n v="0"/>
    <n v="11"/>
    <n v="2"/>
    <n v="2"/>
    <n v="276"/>
    <x v="2"/>
    <x v="3"/>
    <n v="7.83"/>
    <n v="4.4950000000000001"/>
    <n v="0.87"/>
    <n v="1.3049999999999999"/>
  </r>
  <r>
    <n v="202600664"/>
    <m/>
    <x v="9"/>
    <x v="10"/>
    <s v="Petek"/>
    <x v="2"/>
    <d v="2026-10-12T00:00:00"/>
    <x v="70"/>
    <x v="71"/>
    <n v="4"/>
    <s v="KOS"/>
    <n v="8"/>
    <n v="0"/>
    <n v="0"/>
    <n v="10"/>
    <n v="2"/>
    <n v="2"/>
    <n v="277"/>
    <x v="2"/>
    <x v="3"/>
    <n v="7.83"/>
    <n v="4.4950000000000001"/>
    <n v="0.87"/>
    <n v="1.3049999999999999"/>
  </r>
  <r>
    <n v="202600664"/>
    <m/>
    <x v="9"/>
    <x v="10"/>
    <s v="Petek"/>
    <x v="2"/>
    <d v="2026-10-12T00:00:00"/>
    <x v="45"/>
    <x v="45"/>
    <n v="4"/>
    <s v="KOS"/>
    <n v="14"/>
    <n v="0"/>
    <n v="0"/>
    <n v="16"/>
    <n v="2"/>
    <n v="2"/>
    <n v="275"/>
    <x v="2"/>
    <x v="3"/>
    <n v="7.83"/>
    <n v="4.4950000000000001"/>
    <n v="0.87"/>
    <n v="1.3049999999999999"/>
  </r>
  <r>
    <n v="202600664"/>
    <m/>
    <x v="9"/>
    <x v="10"/>
    <s v="Petek"/>
    <x v="2"/>
    <d v="2026-10-12T00:00:00"/>
    <x v="71"/>
    <x v="72"/>
    <n v="1"/>
    <s v="KOS"/>
    <n v="2"/>
    <n v="0"/>
    <n v="1"/>
    <n v="2"/>
    <n v="0"/>
    <n v="0"/>
    <n v="284"/>
    <x v="2"/>
    <x v="6"/>
    <n v="0"/>
    <n v="4.5"/>
    <n v="0"/>
    <n v="0"/>
  </r>
  <r>
    <n v="202600664"/>
    <m/>
    <x v="9"/>
    <x v="10"/>
    <s v="Petek"/>
    <x v="2"/>
    <d v="2026-10-12T00:00:00"/>
    <x v="14"/>
    <x v="14"/>
    <n v="2"/>
    <s v="KOS"/>
    <n v="14"/>
    <n v="0"/>
    <n v="2"/>
    <n v="16"/>
    <n v="2"/>
    <n v="2"/>
    <n v="279"/>
    <x v="2"/>
    <x v="6"/>
    <n v="0"/>
    <n v="4.5"/>
    <n v="0"/>
    <n v="0"/>
  </r>
  <r>
    <n v="202600664"/>
    <m/>
    <x v="9"/>
    <x v="10"/>
    <s v="Petek"/>
    <x v="2"/>
    <d v="2026-10-12T00:00:00"/>
    <x v="23"/>
    <x v="23"/>
    <n v="4"/>
    <s v="KOS"/>
    <n v="12"/>
    <n v="1"/>
    <n v="2"/>
    <n v="14"/>
    <n v="3"/>
    <n v="3"/>
    <n v="280"/>
    <x v="2"/>
    <x v="6"/>
    <n v="0"/>
    <n v="4.5"/>
    <n v="0"/>
    <n v="0"/>
  </r>
  <r>
    <n v="202600664"/>
    <m/>
    <x v="9"/>
    <x v="10"/>
    <s v="Petek"/>
    <x v="2"/>
    <d v="2026-10-12T00:00:00"/>
    <x v="72"/>
    <x v="73"/>
    <n v="1"/>
    <s v="KOS"/>
    <n v="3"/>
    <n v="2"/>
    <n v="0"/>
    <n v="0"/>
    <n v="-1"/>
    <n v="-1"/>
    <n v="283"/>
    <x v="3"/>
    <x v="7"/>
    <m/>
    <m/>
    <m/>
    <m/>
  </r>
  <r>
    <n v="202600695"/>
    <m/>
    <x v="13"/>
    <x v="11"/>
    <s v="Torek"/>
    <x v="3"/>
    <d v="2026-10-19T00:00:00"/>
    <x v="25"/>
    <x v="25"/>
    <n v="1"/>
    <s v="KOS"/>
    <n v="5"/>
    <n v="1"/>
    <n v="0"/>
    <n v="6"/>
    <n v="2"/>
    <n v="2"/>
    <n v="346"/>
    <x v="2"/>
    <x v="0"/>
    <m/>
    <m/>
    <m/>
    <m/>
  </r>
  <r>
    <n v="202600695"/>
    <m/>
    <x v="13"/>
    <x v="11"/>
    <s v="Torek"/>
    <x v="3"/>
    <d v="2026-10-19T00:00:00"/>
    <x v="1"/>
    <x v="1"/>
    <n v="1"/>
    <s v="KOS"/>
    <n v="39"/>
    <n v="4"/>
    <n v="12"/>
    <n v="60"/>
    <n v="23"/>
    <n v="23"/>
    <n v="342"/>
    <x v="1"/>
    <x v="1"/>
    <n v="0"/>
    <n v="4.1400000000000006"/>
    <n v="0.36"/>
    <n v="0"/>
  </r>
  <r>
    <n v="202600695"/>
    <m/>
    <x v="13"/>
    <x v="11"/>
    <s v="Torek"/>
    <x v="3"/>
    <d v="2026-10-19T00:00:00"/>
    <x v="73"/>
    <x v="74"/>
    <n v="1"/>
    <s v="KOS"/>
    <n v="1"/>
    <n v="0"/>
    <n v="0"/>
    <n v="4"/>
    <n v="3"/>
    <n v="3"/>
    <n v="344"/>
    <x v="2"/>
    <x v="3"/>
    <n v="7.83"/>
    <n v="4.4950000000000001"/>
    <n v="0.87"/>
    <n v="1.3049999999999999"/>
  </r>
  <r>
    <n v="202600695"/>
    <m/>
    <x v="13"/>
    <x v="11"/>
    <s v="Torek"/>
    <x v="3"/>
    <d v="2026-10-19T00:00:00"/>
    <x v="3"/>
    <x v="3"/>
    <n v="1"/>
    <s v="KOS"/>
    <n v="23"/>
    <n v="1"/>
    <n v="1"/>
    <n v="22"/>
    <n v="-1"/>
    <n v="-1"/>
    <n v="343"/>
    <x v="3"/>
    <x v="3"/>
    <n v="7.83"/>
    <n v="4.4950000000000001"/>
    <n v="0.87"/>
    <n v="1.3049999999999999"/>
  </r>
  <r>
    <n v="202600695"/>
    <m/>
    <x v="13"/>
    <x v="11"/>
    <s v="Torek"/>
    <x v="3"/>
    <d v="2026-10-19T00:00:00"/>
    <x v="65"/>
    <x v="66"/>
    <n v="1"/>
    <s v="KOS"/>
    <n v="2"/>
    <n v="1"/>
    <n v="0"/>
    <n v="2"/>
    <n v="1"/>
    <n v="1"/>
    <n v="345"/>
    <x v="2"/>
    <x v="6"/>
    <m/>
    <m/>
    <m/>
    <m/>
  </r>
  <r>
    <n v="202600703"/>
    <m/>
    <x v="9"/>
    <x v="11"/>
    <s v="Torek"/>
    <x v="3"/>
    <d v="2026-10-19T00:00:00"/>
    <x v="11"/>
    <x v="11"/>
    <n v="1"/>
    <s v="KOS"/>
    <n v="12"/>
    <n v="3"/>
    <n v="1"/>
    <n v="9"/>
    <n v="0"/>
    <n v="0"/>
    <n v="363"/>
    <x v="1"/>
    <x v="0"/>
    <n v="0.6"/>
    <n v="0"/>
    <n v="0"/>
    <n v="0"/>
  </r>
  <r>
    <n v="202600704"/>
    <m/>
    <x v="9"/>
    <x v="11"/>
    <s v="Torek"/>
    <x v="3"/>
    <d v="2026-10-19T00:00:00"/>
    <x v="11"/>
    <x v="11"/>
    <n v="1"/>
    <s v="KOS"/>
    <n v="12"/>
    <n v="3"/>
    <n v="1"/>
    <n v="9"/>
    <n v="0"/>
    <n v="0"/>
    <n v="366"/>
    <x v="1"/>
    <x v="0"/>
    <n v="0.6"/>
    <n v="0"/>
    <n v="0"/>
    <n v="0"/>
  </r>
  <r>
    <n v="202600703"/>
    <m/>
    <x v="9"/>
    <x v="11"/>
    <s v="Torek"/>
    <x v="3"/>
    <d v="2026-10-19T00:00:00"/>
    <x v="39"/>
    <x v="39"/>
    <n v="1"/>
    <s v="KOS"/>
    <n v="12"/>
    <n v="9"/>
    <n v="1"/>
    <n v="5"/>
    <n v="2"/>
    <n v="2"/>
    <n v="364"/>
    <x v="1"/>
    <x v="0"/>
    <n v="0.6"/>
    <n v="0"/>
    <n v="0"/>
    <n v="0"/>
  </r>
  <r>
    <n v="202600704"/>
    <m/>
    <x v="9"/>
    <x v="11"/>
    <s v="Torek"/>
    <x v="3"/>
    <d v="2026-10-19T00:00:00"/>
    <x v="42"/>
    <x v="42"/>
    <n v="2"/>
    <s v="KOS"/>
    <n v="15"/>
    <n v="3"/>
    <n v="0"/>
    <n v="13"/>
    <n v="1"/>
    <n v="1"/>
    <n v="365"/>
    <x v="1"/>
    <x v="1"/>
    <n v="0"/>
    <n v="4.1400000000000006"/>
    <n v="0.36"/>
    <n v="0"/>
  </r>
  <r>
    <n v="202600703"/>
    <m/>
    <x v="9"/>
    <x v="11"/>
    <s v="Torek"/>
    <x v="3"/>
    <d v="2026-10-19T00:00:00"/>
    <x v="42"/>
    <x v="42"/>
    <n v="1"/>
    <s v="KOS"/>
    <n v="15"/>
    <n v="3"/>
    <n v="0"/>
    <n v="13"/>
    <n v="1"/>
    <n v="1"/>
    <n v="360"/>
    <x v="1"/>
    <x v="1"/>
    <n v="0"/>
    <n v="4.1400000000000006"/>
    <n v="0.36"/>
    <n v="0"/>
  </r>
  <r>
    <n v="202600703"/>
    <m/>
    <x v="9"/>
    <x v="11"/>
    <s v="Torek"/>
    <x v="3"/>
    <d v="2026-10-19T00:00:00"/>
    <x v="43"/>
    <x v="43"/>
    <n v="2"/>
    <s v="KOS"/>
    <n v="8"/>
    <n v="2"/>
    <n v="0"/>
    <n v="8"/>
    <n v="2"/>
    <n v="2"/>
    <n v="362"/>
    <x v="2"/>
    <x v="5"/>
    <n v="6.2700000000000005"/>
    <n v="2.09"/>
    <n v="0.66500000000000004"/>
    <n v="0.47500000000000003"/>
  </r>
  <r>
    <n v="202600703"/>
    <m/>
    <x v="9"/>
    <x v="11"/>
    <s v="Torek"/>
    <x v="3"/>
    <d v="2026-10-19T00:00:00"/>
    <x v="74"/>
    <x v="75"/>
    <n v="1"/>
    <s v="KOS"/>
    <n v="5"/>
    <n v="0"/>
    <n v="0"/>
    <n v="8"/>
    <n v="3"/>
    <n v="3"/>
    <n v="361"/>
    <x v="2"/>
    <x v="6"/>
    <n v="0"/>
    <n v="4.5"/>
    <n v="0"/>
    <n v="0"/>
  </r>
  <r>
    <n v="202600678"/>
    <m/>
    <x v="11"/>
    <x v="12"/>
    <s v="Petek"/>
    <x v="3"/>
    <d v="2026-10-19T00:00:00"/>
    <x v="11"/>
    <x v="11"/>
    <n v="1"/>
    <s v="KOS"/>
    <n v="12"/>
    <n v="3"/>
    <n v="1"/>
    <n v="9"/>
    <n v="0"/>
    <n v="0"/>
    <n v="301"/>
    <x v="1"/>
    <x v="0"/>
    <n v="0.6"/>
    <n v="0"/>
    <n v="0"/>
    <n v="0"/>
  </r>
  <r>
    <n v="202600678"/>
    <m/>
    <x v="11"/>
    <x v="12"/>
    <s v="Petek"/>
    <x v="3"/>
    <d v="2026-10-19T00:00:00"/>
    <x v="1"/>
    <x v="1"/>
    <n v="1"/>
    <s v="KOS"/>
    <n v="39"/>
    <n v="4"/>
    <n v="12"/>
    <n v="60"/>
    <n v="23"/>
    <n v="23"/>
    <n v="298"/>
    <x v="1"/>
    <x v="1"/>
    <n v="0"/>
    <n v="4.1400000000000006"/>
    <n v="0.36"/>
    <n v="0"/>
  </r>
  <r>
    <n v="202600678"/>
    <m/>
    <x v="11"/>
    <x v="12"/>
    <s v="Petek"/>
    <x v="3"/>
    <d v="2026-10-19T00:00:00"/>
    <x v="18"/>
    <x v="18"/>
    <n v="2"/>
    <s v="KOS"/>
    <n v="10"/>
    <n v="2"/>
    <n v="0"/>
    <n v="11"/>
    <n v="3"/>
    <n v="3"/>
    <n v="299"/>
    <x v="2"/>
    <x v="3"/>
    <n v="7.83"/>
    <n v="4.4950000000000001"/>
    <n v="0.87"/>
    <n v="1.3049999999999999"/>
  </r>
  <r>
    <n v="202600678"/>
    <m/>
    <x v="11"/>
    <x v="12"/>
    <s v="Petek"/>
    <x v="3"/>
    <d v="2026-10-19T00:00:00"/>
    <x v="14"/>
    <x v="14"/>
    <n v="1"/>
    <s v="KOS"/>
    <n v="14"/>
    <n v="0"/>
    <n v="2"/>
    <n v="16"/>
    <n v="2"/>
    <n v="2"/>
    <n v="300"/>
    <x v="2"/>
    <x v="6"/>
    <n v="0"/>
    <n v="4.5"/>
    <n v="0"/>
    <n v="0"/>
  </r>
  <r>
    <n v="202600732"/>
    <m/>
    <x v="9"/>
    <x v="12"/>
    <s v="Petek"/>
    <x v="3"/>
    <d v="2026-10-19T00:00:00"/>
    <x v="11"/>
    <x v="11"/>
    <n v="1"/>
    <s v="KOS"/>
    <n v="12"/>
    <n v="3"/>
    <n v="1"/>
    <n v="9"/>
    <n v="0"/>
    <n v="0"/>
    <n v="488"/>
    <x v="1"/>
    <x v="0"/>
    <n v="0.6"/>
    <n v="0"/>
    <n v="0"/>
    <n v="0"/>
  </r>
  <r>
    <n v="202600725"/>
    <m/>
    <x v="9"/>
    <x v="12"/>
    <s v="Petek"/>
    <x v="3"/>
    <d v="2026-10-19T00:00:00"/>
    <x v="11"/>
    <x v="11"/>
    <n v="2"/>
    <s v="KOS"/>
    <n v="12"/>
    <n v="3"/>
    <n v="1"/>
    <n v="9"/>
    <n v="0"/>
    <n v="0"/>
    <n v="471"/>
    <x v="1"/>
    <x v="0"/>
    <n v="0.6"/>
    <n v="0"/>
    <n v="0"/>
    <n v="0"/>
  </r>
  <r>
    <n v="202600725"/>
    <m/>
    <x v="9"/>
    <x v="12"/>
    <s v="Petek"/>
    <x v="3"/>
    <d v="2026-10-19T00:00:00"/>
    <x v="15"/>
    <x v="15"/>
    <n v="1"/>
    <s v="KOS"/>
    <n v="47"/>
    <n v="18"/>
    <n v="6"/>
    <n v="50"/>
    <n v="-35"/>
    <n v="-35"/>
    <n v="480"/>
    <x v="3"/>
    <x v="0"/>
    <n v="0.6"/>
    <n v="0"/>
    <n v="0"/>
    <n v="0"/>
  </r>
  <r>
    <n v="202600725"/>
    <m/>
    <x v="9"/>
    <x v="12"/>
    <s v="Petek"/>
    <x v="3"/>
    <d v="2026-10-19T00:00:00"/>
    <x v="39"/>
    <x v="39"/>
    <n v="2"/>
    <s v="KOS"/>
    <n v="12"/>
    <n v="9"/>
    <n v="1"/>
    <n v="5"/>
    <n v="2"/>
    <n v="2"/>
    <n v="473"/>
    <x v="1"/>
    <x v="0"/>
    <n v="0.6"/>
    <n v="0"/>
    <n v="0"/>
    <n v="0"/>
  </r>
  <r>
    <n v="202600725"/>
    <m/>
    <x v="9"/>
    <x v="12"/>
    <s v="Petek"/>
    <x v="3"/>
    <d v="2026-10-19T00:00:00"/>
    <x v="42"/>
    <x v="42"/>
    <n v="3"/>
    <s v="KOS"/>
    <n v="15"/>
    <n v="3"/>
    <n v="0"/>
    <n v="13"/>
    <n v="1"/>
    <n v="1"/>
    <n v="472"/>
    <x v="2"/>
    <x v="1"/>
    <n v="0"/>
    <n v="4.1400000000000006"/>
    <n v="0.36"/>
    <n v="0"/>
  </r>
  <r>
    <n v="202600732"/>
    <m/>
    <x v="9"/>
    <x v="12"/>
    <s v="Petek"/>
    <x v="3"/>
    <d v="2026-10-19T00:00:00"/>
    <x v="42"/>
    <x v="42"/>
    <n v="1"/>
    <s v="KOS"/>
    <n v="15"/>
    <n v="3"/>
    <n v="0"/>
    <n v="13"/>
    <n v="1"/>
    <n v="1"/>
    <n v="486"/>
    <x v="1"/>
    <x v="1"/>
    <n v="0"/>
    <n v="4.1400000000000006"/>
    <n v="0.36"/>
    <n v="0"/>
  </r>
  <r>
    <n v="202600725"/>
    <m/>
    <x v="9"/>
    <x v="12"/>
    <s v="Petek"/>
    <x v="3"/>
    <d v="2026-10-19T00:00:00"/>
    <x v="43"/>
    <x v="43"/>
    <n v="2"/>
    <s v="KOS"/>
    <n v="8"/>
    <n v="2"/>
    <n v="0"/>
    <n v="8"/>
    <n v="2"/>
    <n v="2"/>
    <n v="474"/>
    <x v="2"/>
    <x v="5"/>
    <n v="6.2700000000000005"/>
    <n v="2.09"/>
    <n v="0.66500000000000004"/>
    <n v="0.47500000000000003"/>
  </r>
  <r>
    <n v="202600725"/>
    <m/>
    <x v="9"/>
    <x v="12"/>
    <s v="Petek"/>
    <x v="3"/>
    <d v="2026-10-19T00:00:00"/>
    <x v="44"/>
    <x v="44"/>
    <n v="2"/>
    <s v="KOS"/>
    <n v="9"/>
    <n v="0"/>
    <n v="0"/>
    <n v="11"/>
    <n v="2"/>
    <n v="2"/>
    <n v="477"/>
    <x v="2"/>
    <x v="3"/>
    <n v="7.83"/>
    <n v="4.4950000000000001"/>
    <n v="0.87"/>
    <n v="1.3049999999999999"/>
  </r>
  <r>
    <n v="202600725"/>
    <m/>
    <x v="9"/>
    <x v="12"/>
    <s v="Petek"/>
    <x v="3"/>
    <d v="2026-10-19T00:00:00"/>
    <x v="45"/>
    <x v="45"/>
    <n v="2"/>
    <s v="KOS"/>
    <n v="14"/>
    <n v="0"/>
    <n v="0"/>
    <n v="16"/>
    <n v="2"/>
    <n v="2"/>
    <n v="478"/>
    <x v="2"/>
    <x v="3"/>
    <n v="7.83"/>
    <n v="4.4950000000000001"/>
    <n v="0.87"/>
    <n v="1.3049999999999999"/>
  </r>
  <r>
    <n v="202600725"/>
    <m/>
    <x v="9"/>
    <x v="12"/>
    <s v="Petek"/>
    <x v="3"/>
    <d v="2026-10-19T00:00:00"/>
    <x v="74"/>
    <x v="75"/>
    <n v="2"/>
    <s v="KOS"/>
    <n v="5"/>
    <n v="0"/>
    <n v="0"/>
    <n v="8"/>
    <n v="3"/>
    <n v="3"/>
    <n v="475"/>
    <x v="2"/>
    <x v="6"/>
    <n v="0"/>
    <n v="4.5"/>
    <n v="0"/>
    <n v="0"/>
  </r>
  <r>
    <n v="202600725"/>
    <m/>
    <x v="9"/>
    <x v="12"/>
    <s v="Petek"/>
    <x v="3"/>
    <d v="2026-10-19T00:00:00"/>
    <x v="75"/>
    <x v="76"/>
    <n v="1"/>
    <s v="KOS"/>
    <n v="2"/>
    <n v="3"/>
    <n v="0"/>
    <n v="0"/>
    <n v="1"/>
    <n v="1"/>
    <n v="479"/>
    <x v="0"/>
    <x v="6"/>
    <n v="0"/>
    <n v="4.5"/>
    <n v="0"/>
    <n v="0"/>
  </r>
  <r>
    <n v="202600725"/>
    <m/>
    <x v="9"/>
    <x v="12"/>
    <s v="Petek"/>
    <x v="3"/>
    <d v="2026-10-19T00:00:00"/>
    <x v="14"/>
    <x v="14"/>
    <n v="2"/>
    <s v="KOS"/>
    <n v="14"/>
    <n v="0"/>
    <n v="2"/>
    <n v="16"/>
    <n v="2"/>
    <n v="2"/>
    <n v="476"/>
    <x v="2"/>
    <x v="6"/>
    <n v="0"/>
    <n v="4.5"/>
    <n v="0"/>
    <n v="0"/>
  </r>
  <r>
    <n v="202600732"/>
    <m/>
    <x v="9"/>
    <x v="12"/>
    <s v="Petek"/>
    <x v="3"/>
    <d v="2026-10-19T00:00:00"/>
    <x v="72"/>
    <x v="73"/>
    <n v="1"/>
    <s v="KOS"/>
    <n v="3"/>
    <n v="2"/>
    <n v="0"/>
    <n v="0"/>
    <n v="-1"/>
    <n v="-1"/>
    <n v="487"/>
    <x v="3"/>
    <x v="7"/>
    <m/>
    <m/>
    <m/>
    <m/>
  </r>
  <r>
    <n v="202600728"/>
    <m/>
    <x v="20"/>
    <x v="13"/>
    <s v="Ponedeljek"/>
    <x v="4"/>
    <d v="2026-10-26T00:00:00"/>
    <x v="59"/>
    <x v="60"/>
    <n v="1"/>
    <s v="KOS"/>
    <n v="2"/>
    <n v="0"/>
    <n v="2"/>
    <n v="2"/>
    <n v="0"/>
    <n v="0"/>
    <n v="484"/>
    <x v="2"/>
    <x v="5"/>
    <n v="6.2700000000000005"/>
    <n v="2.09"/>
    <n v="0.66500000000000004"/>
    <n v="0.47500000000000003"/>
  </r>
  <r>
    <n v="202600684"/>
    <s v="MERCATOR HM TABOR"/>
    <x v="0"/>
    <x v="14"/>
    <s v="Sreda"/>
    <x v="4"/>
    <d v="2026-10-26T00:00:00"/>
    <x v="15"/>
    <x v="15"/>
    <n v="1"/>
    <s v="KOS"/>
    <n v="47"/>
    <n v="18"/>
    <n v="6"/>
    <n v="50"/>
    <n v="-35"/>
    <n v="-35"/>
    <n v="325"/>
    <x v="3"/>
    <x v="0"/>
    <n v="0.6"/>
    <n v="0"/>
    <n v="0"/>
    <n v="0"/>
  </r>
  <r>
    <n v="202600684"/>
    <s v="MERCATOR HM TABOR"/>
    <x v="0"/>
    <x v="14"/>
    <s v="Sreda"/>
    <x v="4"/>
    <d v="2026-10-26T00:00:00"/>
    <x v="29"/>
    <x v="29"/>
    <n v="1"/>
    <s v="KOS"/>
    <n v="4"/>
    <n v="8"/>
    <n v="3"/>
    <n v="8"/>
    <n v="12"/>
    <n v="12"/>
    <n v="311"/>
    <x v="0"/>
    <x v="0"/>
    <n v="0.6"/>
    <n v="0"/>
    <n v="0"/>
    <n v="0"/>
  </r>
  <r>
    <n v="202600684"/>
    <s v="MERCATOR HM TABOR"/>
    <x v="0"/>
    <x v="14"/>
    <s v="Sreda"/>
    <x v="4"/>
    <d v="2026-10-26T00:00:00"/>
    <x v="29"/>
    <x v="29"/>
    <n v="1"/>
    <s v="KOS"/>
    <n v="4"/>
    <n v="8"/>
    <n v="3"/>
    <n v="8"/>
    <n v="12"/>
    <n v="12"/>
    <n v="318"/>
    <x v="0"/>
    <x v="0"/>
    <n v="0.6"/>
    <n v="0"/>
    <n v="0"/>
    <n v="0"/>
  </r>
  <r>
    <n v="202600684"/>
    <s v="MERCATOR HM TABOR"/>
    <x v="0"/>
    <x v="14"/>
    <s v="Sreda"/>
    <x v="4"/>
    <d v="2026-10-26T00:00:00"/>
    <x v="1"/>
    <x v="1"/>
    <n v="1"/>
    <s v="KOS"/>
    <n v="39"/>
    <n v="4"/>
    <n v="12"/>
    <n v="60"/>
    <n v="23"/>
    <n v="23"/>
    <n v="315"/>
    <x v="1"/>
    <x v="1"/>
    <n v="0"/>
    <n v="4.1400000000000006"/>
    <n v="0.36"/>
    <n v="0"/>
  </r>
  <r>
    <n v="202600684"/>
    <s v="MERCATOR HM TABOR"/>
    <x v="0"/>
    <x v="14"/>
    <s v="Sreda"/>
    <x v="4"/>
    <d v="2026-10-26T00:00:00"/>
    <x v="1"/>
    <x v="1"/>
    <n v="1"/>
    <s v="KOS"/>
    <n v="39"/>
    <n v="4"/>
    <n v="12"/>
    <n v="60"/>
    <n v="23"/>
    <n v="23"/>
    <n v="308"/>
    <x v="1"/>
    <x v="1"/>
    <n v="0"/>
    <n v="4.1400000000000006"/>
    <n v="0.36"/>
    <n v="0"/>
  </r>
  <r>
    <n v="202600684"/>
    <s v="MERCATOR HM TABOR"/>
    <x v="0"/>
    <x v="14"/>
    <s v="Sreda"/>
    <x v="4"/>
    <d v="2026-10-26T00:00:00"/>
    <x v="76"/>
    <x v="77"/>
    <n v="1"/>
    <s v="KOS"/>
    <n v="1"/>
    <n v="0"/>
    <n v="0"/>
    <n v="1"/>
    <n v="0"/>
    <n v="0"/>
    <n v="323"/>
    <x v="2"/>
    <x v="3"/>
    <n v="7.83"/>
    <n v="4.4950000000000001"/>
    <n v="0.87"/>
    <n v="1.3049999999999999"/>
  </r>
  <r>
    <n v="202600684"/>
    <s v="MERCATOR HM TABOR"/>
    <x v="0"/>
    <x v="14"/>
    <s v="Sreda"/>
    <x v="4"/>
    <d v="2026-10-26T00:00:00"/>
    <x v="77"/>
    <x v="78"/>
    <n v="1"/>
    <s v="KOS"/>
    <n v="2"/>
    <n v="0"/>
    <n v="0"/>
    <n v="2"/>
    <n v="0"/>
    <n v="0"/>
    <n v="316"/>
    <x v="2"/>
    <x v="3"/>
    <n v="7.83"/>
    <n v="4.4950000000000001"/>
    <n v="0.87"/>
    <n v="1.3049999999999999"/>
  </r>
  <r>
    <n v="202600684"/>
    <s v="MERCATOR HM TABOR"/>
    <x v="0"/>
    <x v="14"/>
    <s v="Sreda"/>
    <x v="4"/>
    <d v="2026-10-26T00:00:00"/>
    <x v="77"/>
    <x v="78"/>
    <n v="1"/>
    <s v="KOS"/>
    <n v="2"/>
    <n v="0"/>
    <n v="0"/>
    <n v="2"/>
    <n v="0"/>
    <n v="0"/>
    <n v="309"/>
    <x v="2"/>
    <x v="3"/>
    <n v="7.83"/>
    <n v="4.4950000000000001"/>
    <n v="0.87"/>
    <n v="1.3049999999999999"/>
  </r>
  <r>
    <n v="202600684"/>
    <s v="MERCATOR HM TABOR"/>
    <x v="0"/>
    <x v="14"/>
    <s v="Sreda"/>
    <x v="4"/>
    <d v="2026-10-26T00:00:00"/>
    <x v="78"/>
    <x v="79"/>
    <n v="1"/>
    <s v="KOS"/>
    <n v="1"/>
    <n v="0"/>
    <n v="0"/>
    <n v="2"/>
    <n v="1"/>
    <n v="1"/>
    <n v="329"/>
    <x v="2"/>
    <x v="10"/>
    <n v="4.3499999999999996"/>
    <n v="0.89999999999999991"/>
    <n v="1.125"/>
    <n v="1.05"/>
  </r>
  <r>
    <n v="202600684"/>
    <s v="MERCATOR HM TABOR"/>
    <x v="0"/>
    <x v="14"/>
    <s v="Sreda"/>
    <x v="4"/>
    <d v="2026-10-26T00:00:00"/>
    <x v="79"/>
    <x v="80"/>
    <n v="1"/>
    <s v="KOS"/>
    <n v="1"/>
    <n v="0"/>
    <n v="0"/>
    <n v="1"/>
    <n v="0"/>
    <n v="0"/>
    <n v="330"/>
    <x v="2"/>
    <x v="6"/>
    <n v="0"/>
    <n v="4.5"/>
    <n v="0"/>
    <n v="0"/>
  </r>
  <r>
    <n v="202600684"/>
    <s v="MERCATOR HM TABOR"/>
    <x v="0"/>
    <x v="14"/>
    <s v="Sreda"/>
    <x v="4"/>
    <d v="2026-10-26T00:00:00"/>
    <x v="80"/>
    <x v="81"/>
    <n v="1"/>
    <s v="KOS"/>
    <n v="1"/>
    <n v="0"/>
    <n v="0"/>
    <n v="1"/>
    <n v="0"/>
    <n v="0"/>
    <n v="324"/>
    <x v="2"/>
    <x v="6"/>
    <n v="0"/>
    <n v="4.5"/>
    <n v="0"/>
    <n v="0"/>
  </r>
  <r>
    <n v="202600684"/>
    <s v="MERCATOR HM TABOR"/>
    <x v="0"/>
    <x v="14"/>
    <s v="Sreda"/>
    <x v="4"/>
    <d v="2026-10-26T00:00:00"/>
    <x v="81"/>
    <x v="82"/>
    <n v="1"/>
    <s v="KOS"/>
    <n v="6"/>
    <n v="6"/>
    <n v="0"/>
    <n v="0"/>
    <n v="0"/>
    <n v="0"/>
    <n v="322"/>
    <x v="0"/>
    <x v="7"/>
    <m/>
    <m/>
    <m/>
    <m/>
  </r>
  <r>
    <n v="202600684"/>
    <s v="MERCATOR HM TABOR"/>
    <x v="0"/>
    <x v="14"/>
    <s v="Sreda"/>
    <x v="4"/>
    <d v="2026-10-26T00:00:00"/>
    <x v="81"/>
    <x v="82"/>
    <n v="4"/>
    <s v="KOS"/>
    <n v="6"/>
    <n v="6"/>
    <n v="0"/>
    <n v="0"/>
    <n v="0"/>
    <n v="0"/>
    <n v="307"/>
    <x v="0"/>
    <x v="7"/>
    <m/>
    <m/>
    <m/>
    <m/>
  </r>
  <r>
    <n v="202600684"/>
    <s v="MERCATOR HM TABOR"/>
    <x v="0"/>
    <x v="14"/>
    <s v="Sreda"/>
    <x v="4"/>
    <d v="2026-10-26T00:00:00"/>
    <x v="55"/>
    <x v="55"/>
    <n v="1"/>
    <s v="KOS"/>
    <n v="15"/>
    <n v="1"/>
    <n v="3"/>
    <n v="17"/>
    <n v="3"/>
    <n v="3"/>
    <n v="310"/>
    <x v="2"/>
    <x v="4"/>
    <n v="8.1999999999999993"/>
    <n v="0.2"/>
    <n v="0.8"/>
    <n v="0.89999999999999991"/>
  </r>
  <r>
    <n v="202600684"/>
    <s v="MERCATOR HM TABOR"/>
    <x v="0"/>
    <x v="14"/>
    <s v="Sreda"/>
    <x v="4"/>
    <d v="2026-10-26T00:00:00"/>
    <x v="55"/>
    <x v="55"/>
    <n v="1"/>
    <s v="KOS"/>
    <n v="15"/>
    <n v="1"/>
    <n v="3"/>
    <n v="17"/>
    <n v="3"/>
    <n v="3"/>
    <n v="317"/>
    <x v="2"/>
    <x v="4"/>
    <n v="8.1999999999999993"/>
    <n v="0.2"/>
    <n v="0.8"/>
    <n v="0.89999999999999991"/>
  </r>
  <r>
    <n v="202600231"/>
    <s v="MERCATOR MARKET 4 LEVSTIKOVA PIRAN"/>
    <x v="0"/>
    <x v="15"/>
    <s v="Petek"/>
    <x v="4"/>
    <d v="2026-10-26T00:00:00"/>
    <x v="0"/>
    <x v="0"/>
    <n v="1"/>
    <s v="KOS"/>
    <n v="2"/>
    <n v="2"/>
    <n v="0"/>
    <n v="0"/>
    <n v="0"/>
    <n v="0"/>
    <n v="8"/>
    <x v="0"/>
    <x v="0"/>
    <n v="0.6"/>
    <n v="0"/>
    <n v="0"/>
    <n v="0"/>
  </r>
  <r>
    <n v="202600231"/>
    <s v="MERCATOR MARKET 4 LEVSTIKOVA PIRAN"/>
    <x v="0"/>
    <x v="15"/>
    <s v="Petek"/>
    <x v="4"/>
    <d v="2026-10-26T00:00:00"/>
    <x v="1"/>
    <x v="1"/>
    <n v="1"/>
    <s v="KOS"/>
    <n v="39"/>
    <n v="4"/>
    <n v="12"/>
    <n v="60"/>
    <n v="23"/>
    <n v="23"/>
    <n v="1"/>
    <x v="1"/>
    <x v="1"/>
    <n v="0"/>
    <n v="4.1400000000000006"/>
    <n v="0.36"/>
    <n v="0"/>
  </r>
  <r>
    <n v="202600231"/>
    <s v="MERCATOR MARKET 4 LEVSTIKOVA PIRAN"/>
    <x v="0"/>
    <x v="15"/>
    <s v="Petek"/>
    <x v="4"/>
    <d v="2026-10-26T00:00:00"/>
    <x v="2"/>
    <x v="2"/>
    <n v="1"/>
    <s v="KOS"/>
    <n v="5"/>
    <n v="0"/>
    <n v="0"/>
    <n v="6"/>
    <n v="1"/>
    <n v="1"/>
    <n v="2"/>
    <x v="2"/>
    <x v="2"/>
    <n v="4.34"/>
    <n v="1.68"/>
    <n v="0.42"/>
    <n v="0.56000000000000005"/>
  </r>
  <r>
    <n v="202600231"/>
    <s v="MERCATOR MARKET 4 LEVSTIKOVA PIRAN"/>
    <x v="0"/>
    <x v="15"/>
    <s v="Petek"/>
    <x v="4"/>
    <d v="2026-10-26T00:00:00"/>
    <x v="3"/>
    <x v="3"/>
    <n v="1"/>
    <s v="KOS"/>
    <n v="23"/>
    <n v="1"/>
    <n v="1"/>
    <n v="22"/>
    <n v="-1"/>
    <n v="-1"/>
    <n v="3"/>
    <x v="3"/>
    <x v="3"/>
    <n v="7.83"/>
    <n v="4.4950000000000001"/>
    <n v="0.87"/>
    <n v="1.3049999999999999"/>
  </r>
  <r>
    <n v="202600231"/>
    <s v="MERCATOR MARKET 4 LEVSTIKOVA PIRAN"/>
    <x v="0"/>
    <x v="15"/>
    <s v="Petek"/>
    <x v="4"/>
    <d v="2026-10-26T00:00:00"/>
    <x v="67"/>
    <x v="68"/>
    <n v="1"/>
    <s v="KOS"/>
    <n v="4"/>
    <n v="6"/>
    <n v="4"/>
    <n v="0"/>
    <n v="2"/>
    <n v="2"/>
    <n v="4"/>
    <x v="0"/>
    <x v="4"/>
    <n v="8.1999999999999993"/>
    <n v="0.2"/>
    <n v="0.8"/>
    <n v="0.89999999999999991"/>
  </r>
  <r>
    <n v="202600606"/>
    <m/>
    <x v="21"/>
    <x v="15"/>
    <s v="Petek"/>
    <x v="4"/>
    <d v="2026-10-26T00:00:00"/>
    <x v="39"/>
    <x v="39"/>
    <n v="1"/>
    <s v="KOS"/>
    <n v="12"/>
    <n v="9"/>
    <n v="1"/>
    <n v="5"/>
    <n v="2"/>
    <n v="2"/>
    <n v="191"/>
    <x v="1"/>
    <x v="0"/>
    <n v="0.6"/>
    <n v="0"/>
    <n v="0"/>
    <n v="0"/>
  </r>
  <r>
    <n v="202600606"/>
    <m/>
    <x v="21"/>
    <x v="15"/>
    <s v="Petek"/>
    <x v="4"/>
    <d v="2026-10-26T00:00:00"/>
    <x v="58"/>
    <x v="59"/>
    <n v="1"/>
    <s v="KOS"/>
    <n v="2"/>
    <n v="0"/>
    <n v="0"/>
    <n v="2"/>
    <n v="0"/>
    <n v="0"/>
    <n v="187"/>
    <x v="2"/>
    <x v="1"/>
    <n v="0"/>
    <n v="4.1400000000000006"/>
    <n v="0.36"/>
    <n v="0"/>
  </r>
  <r>
    <n v="202600606"/>
    <m/>
    <x v="21"/>
    <x v="15"/>
    <s v="Petek"/>
    <x v="4"/>
    <d v="2026-10-26T00:00:00"/>
    <x v="82"/>
    <x v="83"/>
    <n v="1"/>
    <s v="KOS"/>
    <n v="1"/>
    <n v="0"/>
    <n v="0"/>
    <n v="1"/>
    <n v="0"/>
    <n v="0"/>
    <n v="189"/>
    <x v="2"/>
    <x v="5"/>
    <n v="7.2600000000000007"/>
    <n v="2.42"/>
    <n v="0.77"/>
    <n v="0.55000000000000004"/>
  </r>
  <r>
    <n v="202600606"/>
    <m/>
    <x v="21"/>
    <x v="15"/>
    <s v="Petek"/>
    <x v="4"/>
    <d v="2026-10-26T00:00:00"/>
    <x v="83"/>
    <x v="84"/>
    <n v="1"/>
    <s v="KOS"/>
    <n v="1"/>
    <n v="0"/>
    <n v="0"/>
    <n v="1"/>
    <n v="1"/>
    <n v="0"/>
    <n v="190"/>
    <x v="2"/>
    <x v="6"/>
    <m/>
    <m/>
    <m/>
    <m/>
  </r>
  <r>
    <n v="202600709"/>
    <m/>
    <x v="6"/>
    <x v="15"/>
    <s v="Petek"/>
    <x v="4"/>
    <d v="2026-10-26T00:00:00"/>
    <x v="25"/>
    <x v="25"/>
    <n v="1"/>
    <s v="KOS"/>
    <n v="5"/>
    <n v="1"/>
    <n v="0"/>
    <n v="6"/>
    <n v="2"/>
    <n v="2"/>
    <n v="398"/>
    <x v="2"/>
    <x v="0"/>
    <m/>
    <m/>
    <m/>
    <m/>
  </r>
  <r>
    <n v="202600709"/>
    <m/>
    <x v="6"/>
    <x v="15"/>
    <s v="Petek"/>
    <x v="4"/>
    <d v="2026-10-26T00:00:00"/>
    <x v="32"/>
    <x v="32"/>
    <n v="6"/>
    <s v="KOS"/>
    <n v="14"/>
    <n v="1"/>
    <n v="2"/>
    <n v="19"/>
    <n v="6"/>
    <n v="6"/>
    <n v="404"/>
    <x v="2"/>
    <x v="0"/>
    <m/>
    <m/>
    <m/>
    <m/>
  </r>
  <r>
    <n v="202600709"/>
    <m/>
    <x v="6"/>
    <x v="15"/>
    <s v="Petek"/>
    <x v="4"/>
    <d v="2026-10-26T00:00:00"/>
    <x v="26"/>
    <x v="26"/>
    <n v="7"/>
    <s v="KOS"/>
    <n v="10"/>
    <n v="1"/>
    <n v="5"/>
    <n v="10"/>
    <n v="1"/>
    <n v="1"/>
    <n v="408"/>
    <x v="2"/>
    <x v="8"/>
    <m/>
    <m/>
    <m/>
    <m/>
  </r>
  <r>
    <n v="202600709"/>
    <m/>
    <x v="6"/>
    <x v="15"/>
    <s v="Petek"/>
    <x v="4"/>
    <d v="2026-10-26T00:00:00"/>
    <x v="1"/>
    <x v="1"/>
    <n v="1"/>
    <s v="KOS"/>
    <n v="39"/>
    <n v="4"/>
    <n v="12"/>
    <n v="60"/>
    <n v="23"/>
    <n v="23"/>
    <n v="395"/>
    <x v="1"/>
    <x v="1"/>
    <n v="0"/>
    <n v="4.1400000000000006"/>
    <n v="0.36"/>
    <n v="0"/>
  </r>
  <r>
    <n v="202600709"/>
    <m/>
    <x v="6"/>
    <x v="15"/>
    <s v="Petek"/>
    <x v="4"/>
    <d v="2026-10-26T00:00:00"/>
    <x v="1"/>
    <x v="1"/>
    <n v="6"/>
    <s v="KOS"/>
    <n v="39"/>
    <n v="4"/>
    <n v="12"/>
    <n v="60"/>
    <n v="23"/>
    <n v="23"/>
    <n v="400"/>
    <x v="2"/>
    <x v="1"/>
    <n v="0"/>
    <n v="4.1400000000000006"/>
    <n v="0.36"/>
    <n v="0"/>
  </r>
  <r>
    <n v="202600709"/>
    <m/>
    <x v="6"/>
    <x v="15"/>
    <s v="Petek"/>
    <x v="4"/>
    <d v="2026-10-26T00:00:00"/>
    <x v="27"/>
    <x v="27"/>
    <n v="1"/>
    <s v="KOS"/>
    <n v="3"/>
    <n v="0"/>
    <n v="0"/>
    <n v="3"/>
    <n v="0"/>
    <n v="0"/>
    <n v="402"/>
    <x v="2"/>
    <x v="3"/>
    <n v="7.83"/>
    <n v="4.4950000000000001"/>
    <n v="0.87"/>
    <n v="1.3049999999999999"/>
  </r>
  <r>
    <n v="202600709"/>
    <m/>
    <x v="6"/>
    <x v="15"/>
    <s v="Petek"/>
    <x v="4"/>
    <d v="2026-10-26T00:00:00"/>
    <x v="3"/>
    <x v="3"/>
    <n v="5"/>
    <s v="KOS"/>
    <n v="23"/>
    <n v="1"/>
    <n v="1"/>
    <n v="22"/>
    <n v="-1"/>
    <n v="-1"/>
    <n v="401"/>
    <x v="3"/>
    <x v="3"/>
    <n v="7.83"/>
    <n v="4.4950000000000001"/>
    <n v="0.87"/>
    <n v="1.3049999999999999"/>
  </r>
  <r>
    <n v="202600709"/>
    <m/>
    <x v="6"/>
    <x v="15"/>
    <s v="Petek"/>
    <x v="4"/>
    <d v="2026-10-26T00:00:00"/>
    <x v="3"/>
    <x v="3"/>
    <n v="2"/>
    <s v="KOS"/>
    <n v="23"/>
    <n v="1"/>
    <n v="1"/>
    <n v="22"/>
    <n v="-1"/>
    <n v="-1"/>
    <n v="396"/>
    <x v="3"/>
    <x v="3"/>
    <n v="7.83"/>
    <n v="4.4950000000000001"/>
    <n v="0.87"/>
    <n v="1.3049999999999999"/>
  </r>
  <r>
    <n v="202600709"/>
    <m/>
    <x v="6"/>
    <x v="15"/>
    <s v="Petek"/>
    <x v="4"/>
    <d v="2026-10-26T00:00:00"/>
    <x v="4"/>
    <x v="4"/>
    <n v="1"/>
    <s v="KOS"/>
    <n v="6"/>
    <n v="2"/>
    <n v="3"/>
    <n v="7"/>
    <n v="3"/>
    <n v="3"/>
    <n v="397"/>
    <x v="1"/>
    <x v="4"/>
    <n v="8.1999999999999993"/>
    <n v="0.2"/>
    <n v="0.8"/>
    <n v="0.89999999999999991"/>
  </r>
  <r>
    <n v="202600709"/>
    <m/>
    <x v="6"/>
    <x v="15"/>
    <s v="Petek"/>
    <x v="4"/>
    <d v="2026-10-26T00:00:00"/>
    <x v="55"/>
    <x v="55"/>
    <n v="6"/>
    <s v="KOS"/>
    <n v="15"/>
    <n v="1"/>
    <n v="3"/>
    <n v="17"/>
    <n v="3"/>
    <n v="3"/>
    <n v="403"/>
    <x v="2"/>
    <x v="4"/>
    <n v="8.1999999999999993"/>
    <n v="0.2"/>
    <n v="0.8"/>
    <n v="0.899999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99ECD7-01E6-48A1-A587-A039C8C120F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G59" firstHeaderRow="1" firstDataRow="1" firstDataCol="6" rowPageCount="1" colPageCount="1"/>
  <pivotFields count="25">
    <pivotField compact="0" outline="0" showAll="0" defaultSubtotal="0"/>
    <pivotField compact="0" outline="0" showAll="0" defaultSubtotal="0"/>
    <pivotField axis="axisRow" compact="0" outline="0" showAll="0" defaultSubtotal="0">
      <items count="52">
        <item m="1" x="42"/>
        <item m="1" x="49"/>
        <item m="1" x="47"/>
        <item m="1" x="48"/>
        <item m="1" x="43"/>
        <item m="1" x="50"/>
        <item m="1" x="46"/>
        <item m="1" x="38"/>
        <item m="1" x="24"/>
        <item m="1" x="44"/>
        <item m="1" x="45"/>
        <item x="2"/>
        <item m="1" x="29"/>
        <item m="1" x="36"/>
        <item m="1" x="34"/>
        <item x="20"/>
        <item x="10"/>
        <item m="1" x="23"/>
        <item x="18"/>
        <item x="13"/>
        <item m="1" x="41"/>
        <item m="1" x="40"/>
        <item x="0"/>
        <item m="1" x="25"/>
        <item m="1" x="51"/>
        <item x="7"/>
        <item x="9"/>
        <item m="1" x="31"/>
        <item m="1" x="37"/>
        <item x="17"/>
        <item m="1" x="39"/>
        <item x="6"/>
        <item m="1" x="35"/>
        <item m="1" x="33"/>
        <item x="5"/>
        <item x="16"/>
        <item m="1" x="32"/>
        <item m="1" x="28"/>
        <item x="4"/>
        <item m="1" x="22"/>
        <item x="8"/>
        <item x="21"/>
        <item m="1" x="30"/>
        <item x="15"/>
        <item m="1" x="26"/>
        <item m="1" x="27"/>
        <item x="1"/>
        <item x="3"/>
        <item x="11"/>
        <item x="12"/>
        <item x="14"/>
        <item x="19"/>
      </items>
    </pivotField>
    <pivotField axis="axisRow" compact="0" numFmtId="14" outline="0" showAll="0" defaultSubtotal="0">
      <items count="16">
        <item x="1"/>
        <item x="9"/>
        <item x="3"/>
        <item x="6"/>
        <item x="10"/>
        <item x="0"/>
        <item x="5"/>
        <item x="7"/>
        <item x="11"/>
        <item x="2"/>
        <item x="4"/>
        <item x="8"/>
        <item x="12"/>
        <item x="13"/>
        <item x="14"/>
        <item x="15"/>
      </items>
    </pivotField>
    <pivotField compact="0" outline="0" showAll="0" defaultSubtotal="0"/>
    <pivotField axis="axisRow" compact="0" outline="0" subtotalTop="0" showAll="0" defaultSubtotal="0">
      <items count="17">
        <item m="1" x="16"/>
        <item m="1" x="15"/>
        <item m="1" x="14"/>
        <item m="1" x="13"/>
        <item m="1" x="12"/>
        <item m="1" x="11"/>
        <item m="1" x="7"/>
        <item m="1" x="8"/>
        <item m="1" x="9"/>
        <item m="1" x="10"/>
        <item m="1" x="6"/>
        <item m="1" x="5"/>
        <item x="0"/>
        <item x="1"/>
        <item x="2"/>
        <item x="3"/>
        <item x="4"/>
      </items>
    </pivotField>
    <pivotField compact="0" numFmtId="14" outline="0" subtotalTop="0" showAll="0" defaultSubtotal="0"/>
    <pivotField axis="axisRow" compact="0" outline="0" multipleItemSelectionAllowed="1" showAll="0" defaultSubtotal="0">
      <items count="189">
        <item x="29"/>
        <item x="39"/>
        <item x="40"/>
        <item x="6"/>
        <item m="1" x="85"/>
        <item x="11"/>
        <item x="15"/>
        <item m="1" x="146"/>
        <item m="1" x="150"/>
        <item m="1" x="164"/>
        <item m="1" x="145"/>
        <item x="81"/>
        <item x="10"/>
        <item x="28"/>
        <item m="1" x="108"/>
        <item m="1" x="131"/>
        <item x="52"/>
        <item m="1" x="183"/>
        <item m="1" x="152"/>
        <item m="1" x="124"/>
        <item m="1" x="153"/>
        <item m="1" x="154"/>
        <item m="1" x="122"/>
        <item m="1" x="123"/>
        <item m="1" x="151"/>
        <item m="1" x="121"/>
        <item m="1" x="129"/>
        <item m="1" x="140"/>
        <item m="1" x="175"/>
        <item m="1" x="170"/>
        <item x="54"/>
        <item m="1" x="167"/>
        <item x="16"/>
        <item m="1" x="168"/>
        <item m="1" x="173"/>
        <item x="21"/>
        <item m="1" x="171"/>
        <item m="1" x="112"/>
        <item x="3"/>
        <item x="30"/>
        <item m="1" x="177"/>
        <item m="1" x="148"/>
        <item m="1" x="187"/>
        <item m="1" x="105"/>
        <item m="1" x="110"/>
        <item m="1" x="147"/>
        <item m="1" x="188"/>
        <item x="8"/>
        <item m="1" x="96"/>
        <item x="55"/>
        <item m="1" x="165"/>
        <item m="1" x="179"/>
        <item x="67"/>
        <item x="4"/>
        <item m="1" x="133"/>
        <item m="1" x="186"/>
        <item x="42"/>
        <item m="1" x="155"/>
        <item x="1"/>
        <item x="58"/>
        <item m="1" x="182"/>
        <item x="68"/>
        <item x="33"/>
        <item x="75"/>
        <item x="71"/>
        <item m="1" x="161"/>
        <item x="22"/>
        <item x="14"/>
        <item m="1" x="137"/>
        <item x="23"/>
        <item x="9"/>
        <item x="72"/>
        <item m="1" x="120"/>
        <item x="59"/>
        <item m="1" x="141"/>
        <item m="1" x="185"/>
        <item m="1" x="184"/>
        <item m="1" x="91"/>
        <item m="1" x="90"/>
        <item m="1" x="156"/>
        <item m="1" x="93"/>
        <item m="1" x="95"/>
        <item m="1" x="180"/>
        <item x="43"/>
        <item m="1" x="166"/>
        <item x="47"/>
        <item m="1" x="178"/>
        <item x="74"/>
        <item m="1" x="176"/>
        <item m="1" x="87"/>
        <item m="1" x="169"/>
        <item m="1" x="88"/>
        <item x="37"/>
        <item m="1" x="103"/>
        <item m="1" x="174"/>
        <item x="45"/>
        <item m="1" x="118"/>
        <item m="1" x="136"/>
        <item x="56"/>
        <item m="1" x="159"/>
        <item m="1" x="160"/>
        <item m="1" x="104"/>
        <item m="1" x="158"/>
        <item x="53"/>
        <item x="17"/>
        <item x="44"/>
        <item m="1" x="172"/>
        <item x="60"/>
        <item m="1" x="157"/>
        <item m="1" x="181"/>
        <item m="1" x="163"/>
        <item m="1" x="143"/>
        <item m="1" x="144"/>
        <item m="1" x="162"/>
        <item m="1" x="142"/>
        <item m="1" x="100"/>
        <item m="1" x="119"/>
        <item m="1" x="149"/>
        <item x="32"/>
        <item m="1" x="127"/>
        <item m="1" x="138"/>
        <item m="1" x="113"/>
        <item x="2"/>
        <item x="24"/>
        <item x="70"/>
        <item x="18"/>
        <item x="19"/>
        <item x="20"/>
        <item m="1" x="117"/>
        <item m="1" x="114"/>
        <item m="1" x="115"/>
        <item m="1" x="139"/>
        <item m="1" x="116"/>
        <item x="12"/>
        <item x="13"/>
        <item m="1" x="128"/>
        <item m="1" x="84"/>
        <item m="1" x="98"/>
        <item m="1" x="126"/>
        <item x="69"/>
        <item m="1" x="86"/>
        <item m="1" x="89"/>
        <item m="1" x="92"/>
        <item m="1" x="94"/>
        <item x="48"/>
        <item m="1" x="97"/>
        <item x="0"/>
        <item x="73"/>
        <item m="1" x="130"/>
        <item m="1" x="132"/>
        <item x="36"/>
        <item m="1" x="134"/>
        <item m="1" x="135"/>
        <item x="25"/>
        <item m="1" x="125"/>
        <item m="1" x="109"/>
        <item x="63"/>
        <item x="41"/>
        <item x="34"/>
        <item x="38"/>
        <item m="1" x="111"/>
        <item x="65"/>
        <item m="1" x="99"/>
        <item m="1" x="101"/>
        <item m="1" x="102"/>
        <item m="1" x="106"/>
        <item x="5"/>
        <item x="7"/>
        <item x="46"/>
        <item x="49"/>
        <item m="1" x="107"/>
        <item x="31"/>
        <item x="57"/>
        <item x="61"/>
        <item x="62"/>
        <item x="64"/>
        <item x="66"/>
        <item x="26"/>
        <item x="27"/>
        <item x="35"/>
        <item x="50"/>
        <item x="51"/>
        <item x="76"/>
        <item x="77"/>
        <item x="78"/>
        <item x="79"/>
        <item x="80"/>
        <item x="82"/>
        <item x="83"/>
      </items>
    </pivotField>
    <pivotField axis="axisRow" compact="0" outline="0" showAll="0" defaultSubtotal="0">
      <items count="193">
        <item x="16"/>
        <item m="1" x="172"/>
        <item m="1" x="177"/>
        <item m="1" x="88"/>
        <item m="1" x="180"/>
        <item m="1" x="134"/>
        <item x="1"/>
        <item x="59"/>
        <item x="42"/>
        <item m="1" x="190"/>
        <item m="1" x="173"/>
        <item m="1" x="186"/>
        <item x="33"/>
        <item x="69"/>
        <item x="60"/>
        <item m="1" x="189"/>
        <item m="1" x="188"/>
        <item m="1" x="91"/>
        <item x="43"/>
        <item m="1" x="94"/>
        <item m="1" x="96"/>
        <item m="1" x="184"/>
        <item m="1" x="170"/>
        <item x="61"/>
        <item m="1" x="176"/>
        <item m="1" x="161"/>
        <item x="44"/>
        <item m="1" x="185"/>
        <item m="1" x="162"/>
        <item m="1" x="104"/>
        <item m="1" x="178"/>
        <item x="45"/>
        <item m="1" x="105"/>
        <item m="1" x="171"/>
        <item m="1" x="130"/>
        <item m="1" x="174"/>
        <item m="1" x="179"/>
        <item m="1" x="113"/>
        <item m="1" x="191"/>
        <item x="3"/>
        <item x="30"/>
        <item m="1" x="181"/>
        <item m="1" x="109"/>
        <item m="1" x="132"/>
        <item m="1" x="154"/>
        <item x="21"/>
        <item m="1" x="175"/>
        <item x="47"/>
        <item m="1" x="182"/>
        <item x="75"/>
        <item x="76"/>
        <item x="72"/>
        <item x="22"/>
        <item x="14"/>
        <item x="23"/>
        <item x="9"/>
        <item x="28"/>
        <item m="1" x="187"/>
        <item x="73"/>
        <item x="82"/>
        <item x="4"/>
        <item x="8"/>
        <item m="1" x="192"/>
        <item x="55"/>
        <item m="1" x="183"/>
        <item m="1" x="111"/>
        <item m="1" x="97"/>
        <item m="1" x="106"/>
        <item x="11"/>
        <item m="1" x="86"/>
        <item x="15"/>
        <item x="29"/>
        <item x="39"/>
        <item x="6"/>
        <item x="40"/>
        <item m="1" x="158"/>
        <item m="1" x="89"/>
        <item m="1" x="159"/>
        <item x="53"/>
        <item x="17"/>
        <item m="1" x="160"/>
        <item m="1" x="119"/>
        <item x="37"/>
        <item m="1" x="163"/>
        <item m="1" x="164"/>
        <item m="1" x="137"/>
        <item x="54"/>
        <item m="1" x="143"/>
        <item x="52"/>
        <item x="10"/>
        <item m="1" x="165"/>
        <item m="1" x="138"/>
        <item m="1" x="145"/>
        <item m="1" x="166"/>
        <item m="1" x="167"/>
        <item m="1" x="168"/>
        <item m="1" x="155"/>
        <item m="1" x="156"/>
        <item m="1" x="157"/>
        <item m="1" x="121"/>
        <item m="1" x="139"/>
        <item x="68"/>
        <item m="1" x="169"/>
        <item m="1" x="153"/>
        <item m="1" x="146"/>
        <item m="1" x="147"/>
        <item m="1" x="148"/>
        <item m="1" x="149"/>
        <item m="1" x="92"/>
        <item m="1" x="150"/>
        <item m="1" x="151"/>
        <item m="1" x="144"/>
        <item m="1" x="122"/>
        <item m="1" x="123"/>
        <item m="1" x="124"/>
        <item m="1" x="125"/>
        <item m="1" x="101"/>
        <item m="1" x="120"/>
        <item m="1" x="152"/>
        <item x="32"/>
        <item m="1" x="128"/>
        <item m="1" x="140"/>
        <item m="1" x="114"/>
        <item x="2"/>
        <item x="24"/>
        <item x="71"/>
        <item x="18"/>
        <item x="19"/>
        <item x="20"/>
        <item m="1" x="118"/>
        <item m="1" x="142"/>
        <item m="1" x="115"/>
        <item m="1" x="116"/>
        <item m="1" x="141"/>
        <item m="1" x="117"/>
        <item x="12"/>
        <item x="13"/>
        <item m="1" x="129"/>
        <item m="1" x="85"/>
        <item m="1" x="99"/>
        <item m="1" x="127"/>
        <item x="70"/>
        <item m="1" x="87"/>
        <item m="1" x="90"/>
        <item m="1" x="93"/>
        <item m="1" x="95"/>
        <item x="48"/>
        <item m="1" x="98"/>
        <item x="0"/>
        <item x="74"/>
        <item m="1" x="131"/>
        <item m="1" x="133"/>
        <item x="36"/>
        <item m="1" x="135"/>
        <item m="1" x="136"/>
        <item x="25"/>
        <item m="1" x="126"/>
        <item m="1" x="110"/>
        <item x="64"/>
        <item x="41"/>
        <item x="34"/>
        <item x="38"/>
        <item x="56"/>
        <item x="57"/>
        <item m="1" x="112"/>
        <item x="66"/>
        <item m="1" x="100"/>
        <item m="1" x="102"/>
        <item m="1" x="103"/>
        <item m="1" x="107"/>
        <item x="5"/>
        <item x="7"/>
        <item x="46"/>
        <item x="49"/>
        <item m="1" x="108"/>
        <item x="31"/>
        <item x="58"/>
        <item x="62"/>
        <item x="63"/>
        <item x="65"/>
        <item x="67"/>
        <item x="26"/>
        <item x="27"/>
        <item x="35"/>
        <item x="50"/>
        <item x="51"/>
        <item x="77"/>
        <item x="78"/>
        <item x="79"/>
        <item x="80"/>
        <item x="81"/>
        <item x="83"/>
        <item x="84"/>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4">
        <item x="3"/>
        <item h="1" x="0"/>
        <item h="1" x="1"/>
        <item x="2"/>
      </items>
    </pivotField>
    <pivotField axis="axisRow" compact="0" outline="0" showAll="0" sortType="ascending" defaultSubtotal="0">
      <items count="11">
        <item x="4"/>
        <item h="1" x="0"/>
        <item h="1" x="1"/>
        <item x="2"/>
        <item x="3"/>
        <item x="5"/>
        <item x="10"/>
        <item h="1" x="6"/>
        <item x="9"/>
        <item h="1" x="7"/>
        <item h="1" x="8"/>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
        <item x="1"/>
        <item x="0"/>
      </items>
    </pivotField>
  </pivotFields>
  <rowFields count="6">
    <field x="5"/>
    <field x="3"/>
    <field x="19"/>
    <field x="7"/>
    <field x="8"/>
    <field x="2"/>
  </rowFields>
  <rowItems count="55">
    <i>
      <x v="12"/>
      <x/>
      <x v="3"/>
      <x v="122"/>
      <x v="123"/>
      <x v="34"/>
    </i>
    <i r="3">
      <x v="127"/>
      <x v="128"/>
      <x v="34"/>
    </i>
    <i r="2">
      <x v="4"/>
      <x v="38"/>
      <x v="39"/>
      <x v="31"/>
    </i>
    <i r="5">
      <x v="40"/>
    </i>
    <i r="3">
      <x v="125"/>
      <x v="126"/>
      <x v="34"/>
    </i>
    <i r="3">
      <x v="126"/>
      <x v="127"/>
      <x v="34"/>
    </i>
    <i r="3">
      <x v="133"/>
      <x v="135"/>
      <x v="38"/>
    </i>
    <i r="3">
      <x v="134"/>
      <x v="136"/>
      <x v="38"/>
    </i>
    <i r="3">
      <x v="178"/>
      <x v="182"/>
      <x v="31"/>
    </i>
    <i r="2">
      <x v="5"/>
      <x v="167"/>
      <x v="171"/>
      <x v="46"/>
    </i>
    <i r="1">
      <x v="2"/>
      <x v="3"/>
      <x v="168"/>
      <x v="172"/>
      <x v="26"/>
    </i>
    <i r="2">
      <x v="4"/>
      <x v="95"/>
      <x v="31"/>
      <x v="26"/>
    </i>
    <i r="3">
      <x v="105"/>
      <x v="26"/>
      <x v="26"/>
    </i>
    <i r="3">
      <x v="125"/>
      <x v="126"/>
      <x v="48"/>
    </i>
    <i r="3">
      <x v="150"/>
      <x v="152"/>
      <x v="16"/>
    </i>
    <i r="3">
      <x v="159"/>
      <x v="161"/>
      <x v="22"/>
    </i>
    <i r="2">
      <x v="5"/>
      <x v="83"/>
      <x v="18"/>
      <x v="26"/>
    </i>
    <i r="1">
      <x v="5"/>
      <x v="3"/>
      <x v="122"/>
      <x v="123"/>
      <x v="22"/>
    </i>
    <i r="2">
      <x v="4"/>
      <x v="38"/>
      <x v="39"/>
      <x v="22"/>
    </i>
    <i>
      <x v="13"/>
      <x v="3"/>
      <x v="6"/>
      <x v="16"/>
      <x v="88"/>
      <x v="43"/>
    </i>
    <i r="1">
      <x v="10"/>
      <x v="8"/>
      <x v="181"/>
      <x v="185"/>
      <x v="19"/>
    </i>
    <i>
      <x v="14"/>
      <x v="1"/>
      <x v="3"/>
      <x v="173"/>
      <x v="177"/>
      <x v="51"/>
    </i>
    <i r="3">
      <x v="176"/>
      <x v="180"/>
      <x v="51"/>
    </i>
    <i r="2">
      <x v="4"/>
      <x v="38"/>
      <x v="39"/>
      <x v="51"/>
    </i>
    <i r="3">
      <x v="107"/>
      <x v="23"/>
      <x v="51"/>
    </i>
    <i r="3">
      <x v="133"/>
      <x v="135"/>
      <x v="51"/>
    </i>
    <i r="3">
      <x v="156"/>
      <x v="158"/>
      <x v="51"/>
    </i>
    <i r="3">
      <x v="159"/>
      <x v="161"/>
      <x v="18"/>
    </i>
    <i r="2">
      <x v="5"/>
      <x v="73"/>
      <x v="14"/>
      <x v="51"/>
    </i>
    <i r="1">
      <x v="4"/>
      <x v="4"/>
      <x v="95"/>
      <x v="31"/>
      <x v="26"/>
    </i>
    <i r="3">
      <x v="105"/>
      <x v="26"/>
      <x v="26"/>
    </i>
    <i r="3">
      <x v="124"/>
      <x v="125"/>
      <x v="26"/>
    </i>
    <i r="3">
      <x v="139"/>
      <x v="141"/>
      <x v="26"/>
    </i>
    <i r="1">
      <x v="7"/>
      <x v="4"/>
      <x v="103"/>
      <x v="78"/>
      <x v="35"/>
    </i>
    <i r="1">
      <x v="11"/>
      <x/>
      <x v="49"/>
      <x v="63"/>
      <x v="29"/>
    </i>
    <i r="2">
      <x v="4"/>
      <x v="38"/>
      <x v="39"/>
      <x v="29"/>
    </i>
    <i>
      <x v="15"/>
      <x v="8"/>
      <x v="4"/>
      <x v="38"/>
      <x v="39"/>
      <x v="19"/>
    </i>
    <i r="3">
      <x v="147"/>
      <x v="149"/>
      <x v="19"/>
    </i>
    <i r="2">
      <x v="5"/>
      <x v="83"/>
      <x v="18"/>
      <x v="26"/>
    </i>
    <i r="1">
      <x v="12"/>
      <x v="4"/>
      <x v="95"/>
      <x v="31"/>
      <x v="26"/>
    </i>
    <i r="3">
      <x v="105"/>
      <x v="26"/>
      <x v="26"/>
    </i>
    <i r="3">
      <x v="125"/>
      <x v="126"/>
      <x v="48"/>
    </i>
    <i r="2">
      <x v="5"/>
      <x v="83"/>
      <x v="18"/>
      <x v="26"/>
    </i>
    <i>
      <x v="16"/>
      <x v="13"/>
      <x v="5"/>
      <x v="73"/>
      <x v="14"/>
      <x v="15"/>
    </i>
    <i r="1">
      <x v="14"/>
      <x/>
      <x v="49"/>
      <x v="63"/>
      <x v="22"/>
    </i>
    <i r="2">
      <x v="4"/>
      <x v="182"/>
      <x v="186"/>
      <x v="22"/>
    </i>
    <i r="3">
      <x v="183"/>
      <x v="187"/>
      <x v="22"/>
    </i>
    <i r="2">
      <x v="6"/>
      <x v="184"/>
      <x v="188"/>
      <x v="22"/>
    </i>
    <i r="1">
      <x v="15"/>
      <x/>
      <x v="49"/>
      <x v="63"/>
      <x v="31"/>
    </i>
    <i r="2">
      <x v="3"/>
      <x v="122"/>
      <x v="123"/>
      <x v="22"/>
    </i>
    <i r="2">
      <x v="4"/>
      <x v="38"/>
      <x v="39"/>
      <x v="22"/>
    </i>
    <i r="5">
      <x v="31"/>
    </i>
    <i r="3">
      <x v="178"/>
      <x v="182"/>
      <x v="31"/>
    </i>
    <i r="2">
      <x v="5"/>
      <x v="187"/>
      <x v="191"/>
      <x v="41"/>
    </i>
    <i t="grand">
      <x/>
    </i>
  </rowItems>
  <colItems count="1">
    <i/>
  </colItems>
  <pageFields count="1">
    <pageField fld="18" hier="-1"/>
  </pageFields>
  <dataFields count="1">
    <dataField name="Sum of Količina" fld="9" baseField="0" baseItem="0"/>
  </dataFields>
  <formats count="68">
    <format dxfId="219">
      <pivotArea dataOnly="0" labelOnly="1" outline="0" fieldPosition="0">
        <references count="4">
          <reference field="3" count="1" selected="0">
            <x v="0"/>
          </reference>
          <reference field="5" count="1" selected="0">
            <x v="12"/>
          </reference>
          <reference field="7" count="2">
            <x v="122"/>
            <x v="127"/>
          </reference>
          <reference field="19" count="1" selected="0">
            <x v="3"/>
          </reference>
        </references>
      </pivotArea>
    </format>
    <format dxfId="218">
      <pivotArea dataOnly="0" labelOnly="1" outline="0" fieldPosition="0">
        <references count="5">
          <reference field="3" count="1" selected="0">
            <x v="0"/>
          </reference>
          <reference field="5" count="1" selected="0">
            <x v="12"/>
          </reference>
          <reference field="7" count="1" selected="0">
            <x v="122"/>
          </reference>
          <reference field="8" count="1">
            <x v="123"/>
          </reference>
          <reference field="19" count="1" selected="0">
            <x v="3"/>
          </reference>
        </references>
      </pivotArea>
    </format>
    <format dxfId="217">
      <pivotArea dataOnly="0" labelOnly="1" outline="0" fieldPosition="0">
        <references count="5">
          <reference field="3" count="1" selected="0">
            <x v="0"/>
          </reference>
          <reference field="5" count="1" selected="0">
            <x v="12"/>
          </reference>
          <reference field="7" count="1" selected="0">
            <x v="127"/>
          </reference>
          <reference field="8" count="1">
            <x v="128"/>
          </reference>
          <reference field="19" count="1" selected="0">
            <x v="3"/>
          </reference>
        </references>
      </pivotArea>
    </format>
    <format dxfId="216">
      <pivotArea dataOnly="0" labelOnly="1" outline="0" fieldPosition="0">
        <references count="4">
          <reference field="3" count="1" selected="0">
            <x v="0"/>
          </reference>
          <reference field="5" count="1" selected="0">
            <x v="12"/>
          </reference>
          <reference field="7" count="1">
            <x v="38"/>
          </reference>
          <reference field="19" count="1" selected="0">
            <x v="4"/>
          </reference>
        </references>
      </pivotArea>
    </format>
    <format dxfId="215">
      <pivotArea dataOnly="0" labelOnly="1" outline="0" fieldPosition="0">
        <references count="5">
          <reference field="3" count="1" selected="0">
            <x v="0"/>
          </reference>
          <reference field="5" count="1" selected="0">
            <x v="12"/>
          </reference>
          <reference field="7" count="1" selected="0">
            <x v="38"/>
          </reference>
          <reference field="8" count="1">
            <x v="39"/>
          </reference>
          <reference field="19" count="1" selected="0">
            <x v="4"/>
          </reference>
        </references>
      </pivotArea>
    </format>
    <format dxfId="214">
      <pivotArea dataOnly="0" labelOnly="1" outline="0" fieldPosition="0">
        <references count="4">
          <reference field="3" count="1" selected="0">
            <x v="0"/>
          </reference>
          <reference field="5" count="1" selected="0">
            <x v="12"/>
          </reference>
          <reference field="7" count="1">
            <x v="126"/>
          </reference>
          <reference field="19" count="1" selected="0">
            <x v="4"/>
          </reference>
        </references>
      </pivotArea>
    </format>
    <format dxfId="213">
      <pivotArea dataOnly="0" labelOnly="1" outline="0" fieldPosition="0">
        <references count="5">
          <reference field="3" count="1" selected="0">
            <x v="0"/>
          </reference>
          <reference field="5" count="1" selected="0">
            <x v="12"/>
          </reference>
          <reference field="7" count="1" selected="0">
            <x v="126"/>
          </reference>
          <reference field="8" count="1">
            <x v="127"/>
          </reference>
          <reference field="19" count="1" selected="0">
            <x v="4"/>
          </reference>
        </references>
      </pivotArea>
    </format>
    <format dxfId="212">
      <pivotArea dataOnly="0" labelOnly="1" outline="0" fieldPosition="0">
        <references count="4">
          <reference field="3" count="1" selected="0">
            <x v="0"/>
          </reference>
          <reference field="5" count="1" selected="0">
            <x v="12"/>
          </reference>
          <reference field="7" count="2">
            <x v="133"/>
            <x v="134"/>
          </reference>
          <reference field="19" count="1" selected="0">
            <x v="4"/>
          </reference>
        </references>
      </pivotArea>
    </format>
    <format dxfId="211">
      <pivotArea dataOnly="0" labelOnly="1" outline="0" fieldPosition="0">
        <references count="5">
          <reference field="3" count="1" selected="0">
            <x v="0"/>
          </reference>
          <reference field="5" count="1" selected="0">
            <x v="12"/>
          </reference>
          <reference field="7" count="1" selected="0">
            <x v="133"/>
          </reference>
          <reference field="8" count="1">
            <x v="135"/>
          </reference>
          <reference field="19" count="1" selected="0">
            <x v="4"/>
          </reference>
        </references>
      </pivotArea>
    </format>
    <format dxfId="210">
      <pivotArea dataOnly="0" labelOnly="1" outline="0" fieldPosition="0">
        <references count="5">
          <reference field="3" count="1" selected="0">
            <x v="0"/>
          </reference>
          <reference field="5" count="1" selected="0">
            <x v="12"/>
          </reference>
          <reference field="7" count="1" selected="0">
            <x v="134"/>
          </reference>
          <reference field="8" count="1">
            <x v="136"/>
          </reference>
          <reference field="19" count="1" selected="0">
            <x v="4"/>
          </reference>
        </references>
      </pivotArea>
    </format>
    <format dxfId="209">
      <pivotArea dataOnly="0" labelOnly="1" outline="0" fieldPosition="0">
        <references count="4">
          <reference field="3" count="1" selected="0">
            <x v="0"/>
          </reference>
          <reference field="5" count="1" selected="0">
            <x v="12"/>
          </reference>
          <reference field="7" count="1">
            <x v="178"/>
          </reference>
          <reference field="19" count="1" selected="0">
            <x v="4"/>
          </reference>
        </references>
      </pivotArea>
    </format>
    <format dxfId="208">
      <pivotArea dataOnly="0" labelOnly="1" outline="0" fieldPosition="0">
        <references count="5">
          <reference field="3" count="1" selected="0">
            <x v="0"/>
          </reference>
          <reference field="5" count="1" selected="0">
            <x v="12"/>
          </reference>
          <reference field="7" count="1" selected="0">
            <x v="178"/>
          </reference>
          <reference field="8" count="1">
            <x v="182"/>
          </reference>
          <reference field="19" count="1" selected="0">
            <x v="4"/>
          </reference>
        </references>
      </pivotArea>
    </format>
    <format dxfId="207">
      <pivotArea dataOnly="0" labelOnly="1" outline="0" fieldPosition="0">
        <references count="4">
          <reference field="3" count="1" selected="0">
            <x v="0"/>
          </reference>
          <reference field="5" count="1" selected="0">
            <x v="12"/>
          </reference>
          <reference field="7" count="1">
            <x v="167"/>
          </reference>
          <reference field="19" count="1" selected="0">
            <x v="5"/>
          </reference>
        </references>
      </pivotArea>
    </format>
    <format dxfId="206">
      <pivotArea dataOnly="0" labelOnly="1" outline="0" fieldPosition="0">
        <references count="5">
          <reference field="3" count="1" selected="0">
            <x v="0"/>
          </reference>
          <reference field="5" count="1" selected="0">
            <x v="12"/>
          </reference>
          <reference field="7" count="1" selected="0">
            <x v="167"/>
          </reference>
          <reference field="8" count="1">
            <x v="171"/>
          </reference>
          <reference field="19" count="1" selected="0">
            <x v="5"/>
          </reference>
        </references>
      </pivotArea>
    </format>
    <format dxfId="205">
      <pivotArea dataOnly="0" labelOnly="1" outline="0" fieldPosition="0">
        <references count="4">
          <reference field="3" count="1" selected="0">
            <x v="2"/>
          </reference>
          <reference field="5" count="1" selected="0">
            <x v="12"/>
          </reference>
          <reference field="7" count="1">
            <x v="168"/>
          </reference>
          <reference field="19" count="1" selected="0">
            <x v="3"/>
          </reference>
        </references>
      </pivotArea>
    </format>
    <format dxfId="204">
      <pivotArea dataOnly="0" labelOnly="1" outline="0" fieldPosition="0">
        <references count="5">
          <reference field="3" count="1" selected="0">
            <x v="2"/>
          </reference>
          <reference field="5" count="1" selected="0">
            <x v="12"/>
          </reference>
          <reference field="7" count="1" selected="0">
            <x v="168"/>
          </reference>
          <reference field="8" count="1">
            <x v="172"/>
          </reference>
          <reference field="19" count="1" selected="0">
            <x v="3"/>
          </reference>
        </references>
      </pivotArea>
    </format>
    <format dxfId="203">
      <pivotArea dataOnly="0" labelOnly="1" outline="0" fieldPosition="0">
        <references count="4">
          <reference field="3" count="1" selected="0">
            <x v="2"/>
          </reference>
          <reference field="5" count="1" selected="0">
            <x v="12"/>
          </reference>
          <reference field="7" count="2">
            <x v="95"/>
            <x v="105"/>
          </reference>
          <reference field="19" count="1" selected="0">
            <x v="4"/>
          </reference>
        </references>
      </pivotArea>
    </format>
    <format dxfId="202">
      <pivotArea dataOnly="0" labelOnly="1" outline="0" fieldPosition="0">
        <references count="5">
          <reference field="3" count="1" selected="0">
            <x v="2"/>
          </reference>
          <reference field="5" count="1" selected="0">
            <x v="12"/>
          </reference>
          <reference field="7" count="1" selected="0">
            <x v="95"/>
          </reference>
          <reference field="8" count="1">
            <x v="31"/>
          </reference>
          <reference field="19" count="1" selected="0">
            <x v="4"/>
          </reference>
        </references>
      </pivotArea>
    </format>
    <format dxfId="201">
      <pivotArea dataOnly="0" labelOnly="1" outline="0" fieldPosition="0">
        <references count="5">
          <reference field="3" count="1" selected="0">
            <x v="2"/>
          </reference>
          <reference field="5" count="1" selected="0">
            <x v="12"/>
          </reference>
          <reference field="7" count="1" selected="0">
            <x v="105"/>
          </reference>
          <reference field="8" count="1">
            <x v="26"/>
          </reference>
          <reference field="19" count="1" selected="0">
            <x v="4"/>
          </reference>
        </references>
      </pivotArea>
    </format>
    <format dxfId="200">
      <pivotArea dataOnly="0" labelOnly="1" outline="0" fieldPosition="0">
        <references count="4">
          <reference field="3" count="1" selected="0">
            <x v="2"/>
          </reference>
          <reference field="5" count="1" selected="0">
            <x v="12"/>
          </reference>
          <reference field="7" count="1">
            <x v="150"/>
          </reference>
          <reference field="19" count="1" selected="0">
            <x v="4"/>
          </reference>
        </references>
      </pivotArea>
    </format>
    <format dxfId="199">
      <pivotArea dataOnly="0" labelOnly="1" outline="0" fieldPosition="0">
        <references count="5">
          <reference field="3" count="1" selected="0">
            <x v="2"/>
          </reference>
          <reference field="5" count="1" selected="0">
            <x v="12"/>
          </reference>
          <reference field="7" count="1" selected="0">
            <x v="150"/>
          </reference>
          <reference field="8" count="1">
            <x v="152"/>
          </reference>
          <reference field="19" count="1" selected="0">
            <x v="4"/>
          </reference>
        </references>
      </pivotArea>
    </format>
    <format dxfId="198">
      <pivotArea dataOnly="0" labelOnly="1" outline="0" fieldPosition="0">
        <references count="4">
          <reference field="3" count="1" selected="0">
            <x v="2"/>
          </reference>
          <reference field="5" count="1" selected="0">
            <x v="12"/>
          </reference>
          <reference field="7" count="1">
            <x v="159"/>
          </reference>
          <reference field="19" count="1" selected="0">
            <x v="4"/>
          </reference>
        </references>
      </pivotArea>
    </format>
    <format dxfId="197">
      <pivotArea dataOnly="0" labelOnly="1" outline="0" fieldPosition="0">
        <references count="5">
          <reference field="3" count="1" selected="0">
            <x v="2"/>
          </reference>
          <reference field="5" count="1" selected="0">
            <x v="12"/>
          </reference>
          <reference field="7" count="1" selected="0">
            <x v="159"/>
          </reference>
          <reference field="8" count="1">
            <x v="161"/>
          </reference>
          <reference field="19" count="1" selected="0">
            <x v="4"/>
          </reference>
        </references>
      </pivotArea>
    </format>
    <format dxfId="196">
      <pivotArea dataOnly="0" labelOnly="1" outline="0" fieldPosition="0">
        <references count="4">
          <reference field="3" count="1" selected="0">
            <x v="2"/>
          </reference>
          <reference field="5" count="1" selected="0">
            <x v="12"/>
          </reference>
          <reference field="7" count="1">
            <x v="83"/>
          </reference>
          <reference field="19" count="1" selected="0">
            <x v="5"/>
          </reference>
        </references>
      </pivotArea>
    </format>
    <format dxfId="195">
      <pivotArea dataOnly="0" labelOnly="1" outline="0" fieldPosition="0">
        <references count="5">
          <reference field="3" count="1" selected="0">
            <x v="2"/>
          </reference>
          <reference field="5" count="1" selected="0">
            <x v="12"/>
          </reference>
          <reference field="7" count="1" selected="0">
            <x v="83"/>
          </reference>
          <reference field="8" count="1">
            <x v="18"/>
          </reference>
          <reference field="19" count="1" selected="0">
            <x v="5"/>
          </reference>
        </references>
      </pivotArea>
    </format>
    <format dxfId="194">
      <pivotArea dataOnly="0" labelOnly="1" outline="0" fieldPosition="0">
        <references count="4">
          <reference field="3" count="1" selected="0">
            <x v="5"/>
          </reference>
          <reference field="5" count="1" selected="0">
            <x v="12"/>
          </reference>
          <reference field="7" count="1">
            <x v="122"/>
          </reference>
          <reference field="19" count="1" selected="0">
            <x v="3"/>
          </reference>
        </references>
      </pivotArea>
    </format>
    <format dxfId="193">
      <pivotArea dataOnly="0" labelOnly="1" outline="0" fieldPosition="0">
        <references count="5">
          <reference field="3" count="1" selected="0">
            <x v="5"/>
          </reference>
          <reference field="5" count="1" selected="0">
            <x v="12"/>
          </reference>
          <reference field="7" count="1" selected="0">
            <x v="122"/>
          </reference>
          <reference field="8" count="1">
            <x v="123"/>
          </reference>
          <reference field="19" count="1" selected="0">
            <x v="3"/>
          </reference>
        </references>
      </pivotArea>
    </format>
    <format dxfId="192">
      <pivotArea dataOnly="0" labelOnly="1" outline="0" fieldPosition="0">
        <references count="4">
          <reference field="3" count="1" selected="0">
            <x v="5"/>
          </reference>
          <reference field="5" count="1" selected="0">
            <x v="12"/>
          </reference>
          <reference field="7" count="1">
            <x v="38"/>
          </reference>
          <reference field="19" count="1" selected="0">
            <x v="4"/>
          </reference>
        </references>
      </pivotArea>
    </format>
    <format dxfId="191">
      <pivotArea dataOnly="0" labelOnly="1" outline="0" fieldPosition="0">
        <references count="5">
          <reference field="3" count="1" selected="0">
            <x v="5"/>
          </reference>
          <reference field="5" count="1" selected="0">
            <x v="12"/>
          </reference>
          <reference field="7" count="1" selected="0">
            <x v="38"/>
          </reference>
          <reference field="8" count="1">
            <x v="39"/>
          </reference>
          <reference field="19" count="1" selected="0">
            <x v="4"/>
          </reference>
        </references>
      </pivotArea>
    </format>
    <format dxfId="190">
      <pivotArea dataOnly="0" labelOnly="1" outline="0" fieldPosition="0">
        <references count="4">
          <reference field="3" count="1" selected="0">
            <x v="3"/>
          </reference>
          <reference field="5" count="1" selected="0">
            <x v="13"/>
          </reference>
          <reference field="7" count="1">
            <x v="16"/>
          </reference>
          <reference field="19" count="1" selected="0">
            <x v="6"/>
          </reference>
        </references>
      </pivotArea>
    </format>
    <format dxfId="189">
      <pivotArea dataOnly="0" labelOnly="1" outline="0" fieldPosition="0">
        <references count="5">
          <reference field="3" count="1" selected="0">
            <x v="3"/>
          </reference>
          <reference field="5" count="1" selected="0">
            <x v="13"/>
          </reference>
          <reference field="7" count="1" selected="0">
            <x v="16"/>
          </reference>
          <reference field="8" count="1">
            <x v="88"/>
          </reference>
          <reference field="19" count="1" selected="0">
            <x v="6"/>
          </reference>
        </references>
      </pivotArea>
    </format>
    <format dxfId="188">
      <pivotArea dataOnly="0" labelOnly="1" outline="0" fieldPosition="0">
        <references count="4">
          <reference field="3" count="1" selected="0">
            <x v="1"/>
          </reference>
          <reference field="5" count="1" selected="0">
            <x v="14"/>
          </reference>
          <reference field="7" count="1">
            <x v="49"/>
          </reference>
          <reference field="19" count="1" selected="0">
            <x v="0"/>
          </reference>
        </references>
      </pivotArea>
    </format>
    <format dxfId="187">
      <pivotArea dataOnly="0" labelOnly="1" outline="0" fieldPosition="0">
        <references count="5">
          <reference field="3" count="1" selected="0">
            <x v="1"/>
          </reference>
          <reference field="5" count="1" selected="0">
            <x v="14"/>
          </reference>
          <reference field="7" count="1" selected="0">
            <x v="49"/>
          </reference>
          <reference field="8" count="1">
            <x v="63"/>
          </reference>
          <reference field="19" count="1" selected="0">
            <x v="0"/>
          </reference>
        </references>
      </pivotArea>
    </format>
    <format dxfId="186">
      <pivotArea dataOnly="0" labelOnly="1" outline="0" offset="IV1" fieldPosition="0">
        <references count="4">
          <reference field="3" count="1" selected="0">
            <x v="1"/>
          </reference>
          <reference field="5" count="1" selected="0">
            <x v="14"/>
          </reference>
          <reference field="7" count="1">
            <x v="38"/>
          </reference>
          <reference field="19" count="1" selected="0">
            <x v="4"/>
          </reference>
        </references>
      </pivotArea>
    </format>
    <format dxfId="185">
      <pivotArea dataOnly="0" labelOnly="1" outline="0" offset="IV1" fieldPosition="0">
        <references count="5">
          <reference field="3" count="1" selected="0">
            <x v="1"/>
          </reference>
          <reference field="5" count="1" selected="0">
            <x v="14"/>
          </reference>
          <reference field="7" count="1" selected="0">
            <x v="38"/>
          </reference>
          <reference field="8" count="1">
            <x v="39"/>
          </reference>
          <reference field="19" count="1" selected="0">
            <x v="4"/>
          </reference>
        </references>
      </pivotArea>
    </format>
    <format dxfId="184">
      <pivotArea dataOnly="0" labelOnly="1" outline="0" fieldPosition="0">
        <references count="4">
          <reference field="3" count="1" selected="0">
            <x v="1"/>
          </reference>
          <reference field="5" count="1" selected="0">
            <x v="14"/>
          </reference>
          <reference field="7" count="1">
            <x v="173"/>
          </reference>
          <reference field="19" count="1" selected="0">
            <x v="3"/>
          </reference>
        </references>
      </pivotArea>
    </format>
    <format dxfId="183">
      <pivotArea dataOnly="0" labelOnly="1" outline="0" fieldPosition="0">
        <references count="5">
          <reference field="3" count="1" selected="0">
            <x v="1"/>
          </reference>
          <reference field="5" count="1" selected="0">
            <x v="14"/>
          </reference>
          <reference field="7" count="1" selected="0">
            <x v="173"/>
          </reference>
          <reference field="8" count="1">
            <x v="177"/>
          </reference>
          <reference field="19" count="1" selected="0">
            <x v="3"/>
          </reference>
        </references>
      </pivotArea>
    </format>
    <format dxfId="182">
      <pivotArea dataOnly="0" labelOnly="1" outline="0" fieldPosition="0">
        <references count="4">
          <reference field="3" count="1" selected="0">
            <x v="1"/>
          </reference>
          <reference field="5" count="1" selected="0">
            <x v="14"/>
          </reference>
          <reference field="7" count="1">
            <x v="38"/>
          </reference>
          <reference field="19" count="1" selected="0">
            <x v="4"/>
          </reference>
        </references>
      </pivotArea>
    </format>
    <format dxfId="181">
      <pivotArea dataOnly="0" labelOnly="1" outline="0" fieldPosition="0">
        <references count="5">
          <reference field="3" count="1" selected="0">
            <x v="1"/>
          </reference>
          <reference field="5" count="1" selected="0">
            <x v="14"/>
          </reference>
          <reference field="7" count="1" selected="0">
            <x v="38"/>
          </reference>
          <reference field="8" count="1">
            <x v="39"/>
          </reference>
          <reference field="19" count="1" selected="0">
            <x v="4"/>
          </reference>
        </references>
      </pivotArea>
    </format>
    <format dxfId="180">
      <pivotArea dataOnly="0" labelOnly="1" outline="0" fieldPosition="0">
        <references count="4">
          <reference field="3" count="1" selected="0">
            <x v="1"/>
          </reference>
          <reference field="5" count="1" selected="0">
            <x v="14"/>
          </reference>
          <reference field="7" count="1">
            <x v="107"/>
          </reference>
          <reference field="19" count="1" selected="0">
            <x v="4"/>
          </reference>
        </references>
      </pivotArea>
    </format>
    <format dxfId="179">
      <pivotArea dataOnly="0" labelOnly="1" outline="0" fieldPosition="0">
        <references count="5">
          <reference field="3" count="1" selected="0">
            <x v="1"/>
          </reference>
          <reference field="5" count="1" selected="0">
            <x v="14"/>
          </reference>
          <reference field="7" count="1" selected="0">
            <x v="107"/>
          </reference>
          <reference field="8" count="1">
            <x v="23"/>
          </reference>
          <reference field="19" count="1" selected="0">
            <x v="4"/>
          </reference>
        </references>
      </pivotArea>
    </format>
    <format dxfId="178">
      <pivotArea dataOnly="0" labelOnly="1" outline="0" fieldPosition="0">
        <references count="4">
          <reference field="3" count="1" selected="0">
            <x v="1"/>
          </reference>
          <reference field="5" count="1" selected="0">
            <x v="14"/>
          </reference>
          <reference field="7" count="1">
            <x v="133"/>
          </reference>
          <reference field="19" count="1" selected="0">
            <x v="4"/>
          </reference>
        </references>
      </pivotArea>
    </format>
    <format dxfId="177">
      <pivotArea dataOnly="0" labelOnly="1" outline="0" fieldPosition="0">
        <references count="5">
          <reference field="3" count="1" selected="0">
            <x v="1"/>
          </reference>
          <reference field="5" count="1" selected="0">
            <x v="14"/>
          </reference>
          <reference field="7" count="1" selected="0">
            <x v="133"/>
          </reference>
          <reference field="8" count="1">
            <x v="135"/>
          </reference>
          <reference field="19" count="1" selected="0">
            <x v="4"/>
          </reference>
        </references>
      </pivotArea>
    </format>
    <format dxfId="176">
      <pivotArea dataOnly="0" labelOnly="1" outline="0" fieldPosition="0">
        <references count="4">
          <reference field="3" count="1" selected="0">
            <x v="1"/>
          </reference>
          <reference field="5" count="1" selected="0">
            <x v="14"/>
          </reference>
          <reference field="7" count="1">
            <x v="150"/>
          </reference>
          <reference field="19" count="1" selected="0">
            <x v="4"/>
          </reference>
        </references>
      </pivotArea>
    </format>
    <format dxfId="175">
      <pivotArea dataOnly="0" labelOnly="1" outline="0" fieldPosition="0">
        <references count="5">
          <reference field="3" count="1" selected="0">
            <x v="1"/>
          </reference>
          <reference field="5" count="1" selected="0">
            <x v="14"/>
          </reference>
          <reference field="7" count="1" selected="0">
            <x v="150"/>
          </reference>
          <reference field="8" count="1">
            <x v="152"/>
          </reference>
          <reference field="19" count="1" selected="0">
            <x v="4"/>
          </reference>
        </references>
      </pivotArea>
    </format>
    <format dxfId="174">
      <pivotArea dataOnly="0" labelOnly="1" outline="0" fieldPosition="0">
        <references count="4">
          <reference field="3" count="1" selected="0">
            <x v="1"/>
          </reference>
          <reference field="5" count="1" selected="0">
            <x v="14"/>
          </reference>
          <reference field="7" count="1">
            <x v="156"/>
          </reference>
          <reference field="19" count="1" selected="0">
            <x v="4"/>
          </reference>
        </references>
      </pivotArea>
    </format>
    <format dxfId="173">
      <pivotArea dataOnly="0" labelOnly="1" outline="0" fieldPosition="0">
        <references count="5">
          <reference field="3" count="1" selected="0">
            <x v="1"/>
          </reference>
          <reference field="5" count="1" selected="0">
            <x v="14"/>
          </reference>
          <reference field="7" count="1" selected="0">
            <x v="156"/>
          </reference>
          <reference field="8" count="1">
            <x v="158"/>
          </reference>
          <reference field="19" count="1" selected="0">
            <x v="4"/>
          </reference>
        </references>
      </pivotArea>
    </format>
    <format dxfId="172">
      <pivotArea dataOnly="0" labelOnly="1" outline="0" fieldPosition="0">
        <references count="4">
          <reference field="3" count="1" selected="0">
            <x v="1"/>
          </reference>
          <reference field="5" count="1" selected="0">
            <x v="14"/>
          </reference>
          <reference field="7" count="1">
            <x v="159"/>
          </reference>
          <reference field="19" count="1" selected="0">
            <x v="4"/>
          </reference>
        </references>
      </pivotArea>
    </format>
    <format dxfId="171">
      <pivotArea dataOnly="0" labelOnly="1" outline="0" fieldPosition="0">
        <references count="5">
          <reference field="3" count="1" selected="0">
            <x v="1"/>
          </reference>
          <reference field="5" count="1" selected="0">
            <x v="14"/>
          </reference>
          <reference field="7" count="1" selected="0">
            <x v="159"/>
          </reference>
          <reference field="8" count="1">
            <x v="161"/>
          </reference>
          <reference field="19" count="1" selected="0">
            <x v="4"/>
          </reference>
        </references>
      </pivotArea>
    </format>
    <format dxfId="170">
      <pivotArea dataOnly="0" labelOnly="1" outline="0" fieldPosition="0">
        <references count="4">
          <reference field="3" count="1" selected="0">
            <x v="1"/>
          </reference>
          <reference field="5" count="1" selected="0">
            <x v="14"/>
          </reference>
          <reference field="7" count="1">
            <x v="73"/>
          </reference>
          <reference field="19" count="1" selected="0">
            <x v="5"/>
          </reference>
        </references>
      </pivotArea>
    </format>
    <format dxfId="169">
      <pivotArea dataOnly="0" labelOnly="1" outline="0" fieldPosition="0">
        <references count="5">
          <reference field="3" count="1" selected="0">
            <x v="1"/>
          </reference>
          <reference field="5" count="1" selected="0">
            <x v="14"/>
          </reference>
          <reference field="7" count="1" selected="0">
            <x v="73"/>
          </reference>
          <reference field="8" count="1">
            <x v="14"/>
          </reference>
          <reference field="19" count="1" selected="0">
            <x v="5"/>
          </reference>
        </references>
      </pivotArea>
    </format>
    <format dxfId="168">
      <pivotArea dataOnly="0" labelOnly="1" outline="0" fieldPosition="0">
        <references count="4">
          <reference field="3" count="1" selected="0">
            <x v="7"/>
          </reference>
          <reference field="5" count="1" selected="0">
            <x v="14"/>
          </reference>
          <reference field="7" count="1">
            <x v="103"/>
          </reference>
          <reference field="19" count="1" selected="0">
            <x v="4"/>
          </reference>
        </references>
      </pivotArea>
    </format>
    <format dxfId="167">
      <pivotArea dataOnly="0" labelOnly="1" outline="0" fieldPosition="0">
        <references count="5">
          <reference field="3" count="1" selected="0">
            <x v="7"/>
          </reference>
          <reference field="5" count="1" selected="0">
            <x v="14"/>
          </reference>
          <reference field="7" count="1" selected="0">
            <x v="103"/>
          </reference>
          <reference field="8" count="1">
            <x v="78"/>
          </reference>
          <reference field="19" count="1" selected="0">
            <x v="4"/>
          </reference>
        </references>
      </pivotArea>
    </format>
    <format dxfId="166">
      <pivotArea dataOnly="0" labelOnly="1" outline="0" fieldPosition="0">
        <references count="4">
          <reference field="3" count="1" selected="0">
            <x v="4"/>
          </reference>
          <reference field="5" count="1" selected="0">
            <x v="14"/>
          </reference>
          <reference field="7" count="4">
            <x v="95"/>
            <x v="105"/>
            <x v="124"/>
            <x v="139"/>
          </reference>
          <reference field="19" count="1" selected="0">
            <x v="4"/>
          </reference>
        </references>
      </pivotArea>
    </format>
    <format dxfId="165">
      <pivotArea dataOnly="0" labelOnly="1" outline="0" fieldPosition="0">
        <references count="5">
          <reference field="3" count="1" selected="0">
            <x v="4"/>
          </reference>
          <reference field="5" count="1" selected="0">
            <x v="14"/>
          </reference>
          <reference field="7" count="1" selected="0">
            <x v="95"/>
          </reference>
          <reference field="8" count="1">
            <x v="31"/>
          </reference>
          <reference field="19" count="1" selected="0">
            <x v="4"/>
          </reference>
        </references>
      </pivotArea>
    </format>
    <format dxfId="164">
      <pivotArea dataOnly="0" labelOnly="1" outline="0" fieldPosition="0">
        <references count="5">
          <reference field="3" count="1" selected="0">
            <x v="4"/>
          </reference>
          <reference field="5" count="1" selected="0">
            <x v="14"/>
          </reference>
          <reference field="7" count="1" selected="0">
            <x v="105"/>
          </reference>
          <reference field="8" count="1">
            <x v="26"/>
          </reference>
          <reference field="19" count="1" selected="0">
            <x v="4"/>
          </reference>
        </references>
      </pivotArea>
    </format>
    <format dxfId="163">
      <pivotArea dataOnly="0" labelOnly="1" outline="0" fieldPosition="0">
        <references count="5">
          <reference field="3" count="1" selected="0">
            <x v="4"/>
          </reference>
          <reference field="5" count="1" selected="0">
            <x v="14"/>
          </reference>
          <reference field="7" count="1" selected="0">
            <x v="124"/>
          </reference>
          <reference field="8" count="1">
            <x v="125"/>
          </reference>
          <reference field="19" count="1" selected="0">
            <x v="4"/>
          </reference>
        </references>
      </pivotArea>
    </format>
    <format dxfId="162">
      <pivotArea dataOnly="0" labelOnly="1" outline="0" fieldPosition="0">
        <references count="5">
          <reference field="3" count="1" selected="0">
            <x v="4"/>
          </reference>
          <reference field="5" count="1" selected="0">
            <x v="14"/>
          </reference>
          <reference field="7" count="1" selected="0">
            <x v="139"/>
          </reference>
          <reference field="8" count="1">
            <x v="141"/>
          </reference>
          <reference field="19" count="1" selected="0">
            <x v="4"/>
          </reference>
        </references>
      </pivotArea>
    </format>
    <format dxfId="161">
      <pivotArea dataOnly="0" labelOnly="1" outline="0" fieldPosition="0">
        <references count="4">
          <reference field="3" count="1" selected="0">
            <x v="11"/>
          </reference>
          <reference field="5" count="1" selected="0">
            <x v="14"/>
          </reference>
          <reference field="7" count="1">
            <x v="49"/>
          </reference>
          <reference field="19" count="1" selected="0">
            <x v="0"/>
          </reference>
        </references>
      </pivotArea>
    </format>
    <format dxfId="160">
      <pivotArea dataOnly="0" labelOnly="1" outline="0" offset="IV1" fieldPosition="0">
        <references count="4">
          <reference field="3" count="1" selected="0">
            <x v="11"/>
          </reference>
          <reference field="5" count="1" selected="0">
            <x v="14"/>
          </reference>
          <reference field="7" count="1">
            <x v="38"/>
          </reference>
          <reference field="19" count="1" selected="0">
            <x v="4"/>
          </reference>
        </references>
      </pivotArea>
    </format>
    <format dxfId="159">
      <pivotArea dataOnly="0" labelOnly="1" outline="0" fieldPosition="0">
        <references count="5">
          <reference field="3" count="1" selected="0">
            <x v="11"/>
          </reference>
          <reference field="5" count="1" selected="0">
            <x v="14"/>
          </reference>
          <reference field="7" count="1" selected="0">
            <x v="49"/>
          </reference>
          <reference field="8" count="1">
            <x v="63"/>
          </reference>
          <reference field="19" count="1" selected="0">
            <x v="0"/>
          </reference>
        </references>
      </pivotArea>
    </format>
    <format dxfId="158">
      <pivotArea dataOnly="0" labelOnly="1" outline="0" offset="IV1" fieldPosition="0">
        <references count="5">
          <reference field="3" count="1" selected="0">
            <x v="11"/>
          </reference>
          <reference field="5" count="1" selected="0">
            <x v="14"/>
          </reference>
          <reference field="7" count="1" selected="0">
            <x v="38"/>
          </reference>
          <reference field="8" count="1">
            <x v="39"/>
          </reference>
          <reference field="19" count="1" selected="0">
            <x v="4"/>
          </reference>
        </references>
      </pivotArea>
    </format>
    <format dxfId="157">
      <pivotArea dataOnly="0" labelOnly="1" outline="0" fieldPosition="0">
        <references count="4">
          <reference field="3" count="1" selected="0">
            <x v="0"/>
          </reference>
          <reference field="5" count="1" selected="0">
            <x v="12"/>
          </reference>
          <reference field="7" count="1">
            <x v="125"/>
          </reference>
          <reference field="19" count="1" selected="0">
            <x v="4"/>
          </reference>
        </references>
      </pivotArea>
    </format>
    <format dxfId="156">
      <pivotArea dataOnly="0" labelOnly="1" outline="0" fieldPosition="0">
        <references count="5">
          <reference field="3" count="1" selected="0">
            <x v="0"/>
          </reference>
          <reference field="5" count="1" selected="0">
            <x v="12"/>
          </reference>
          <reference field="7" count="1" selected="0">
            <x v="125"/>
          </reference>
          <reference field="8" count="1">
            <x v="126"/>
          </reference>
          <reference field="19" count="1" selected="0">
            <x v="4"/>
          </reference>
        </references>
      </pivotArea>
    </format>
    <format dxfId="155">
      <pivotArea dataOnly="0" labelOnly="1" outline="0" fieldPosition="0">
        <references count="4">
          <reference field="3" count="1" selected="0">
            <x v="10"/>
          </reference>
          <reference field="5" count="1" selected="0">
            <x v="13"/>
          </reference>
          <reference field="7" count="1">
            <x v="181"/>
          </reference>
          <reference field="19" count="1" selected="0">
            <x v="8"/>
          </reference>
        </references>
      </pivotArea>
    </format>
    <format dxfId="154">
      <pivotArea dataOnly="0" labelOnly="1" outline="0" fieldPosition="0">
        <references count="5">
          <reference field="3" count="1" selected="0">
            <x v="10"/>
          </reference>
          <reference field="5" count="1" selected="0">
            <x v="13"/>
          </reference>
          <reference field="7" count="1" selected="0">
            <x v="181"/>
          </reference>
          <reference field="8" count="1">
            <x v="185"/>
          </reference>
          <reference field="19" count="1" selected="0">
            <x v="8"/>
          </reference>
        </references>
      </pivotArea>
    </format>
    <format dxfId="153">
      <pivotArea dataOnly="0" labelOnly="1" outline="0" fieldPosition="0">
        <references count="4">
          <reference field="3" count="1" selected="0">
            <x v="2"/>
          </reference>
          <reference field="5" count="1" selected="0">
            <x v="12"/>
          </reference>
          <reference field="7" count="1">
            <x v="125"/>
          </reference>
          <reference field="19" count="1" selected="0">
            <x v="4"/>
          </reference>
        </references>
      </pivotArea>
    </format>
    <format dxfId="152">
      <pivotArea dataOnly="0" labelOnly="1" outline="0" fieldPosition="0">
        <references count="5">
          <reference field="3" count="1" selected="0">
            <x v="2"/>
          </reference>
          <reference field="5" count="1" selected="0">
            <x v="12"/>
          </reference>
          <reference field="7" count="1" selected="0">
            <x v="125"/>
          </reference>
          <reference field="8" count="1">
            <x v="126"/>
          </reference>
          <reference field="19" count="1" selected="0">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2F5F32-72E8-483B-A29A-E6CE2C7572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C7" firstHeaderRow="1" firstDataRow="1" firstDataCol="1"/>
  <pivotFields count="25">
    <pivotField showAll="0"/>
    <pivotField showAll="0"/>
    <pivotField showAll="0"/>
    <pivotField numFmtId="14" showAll="0">
      <items count="17">
        <item x="1"/>
        <item x="3"/>
        <item x="6"/>
        <item x="9"/>
        <item x="10"/>
        <item x="0"/>
        <item x="5"/>
        <item x="7"/>
        <item x="11"/>
        <item x="2"/>
        <item x="4"/>
        <item x="8"/>
        <item x="12"/>
        <item x="13"/>
        <item x="14"/>
        <item x="15"/>
        <item t="default"/>
      </items>
    </pivotField>
    <pivotField showAll="0"/>
    <pivotField axis="axisRow" showAll="0">
      <items count="18">
        <item m="1" x="16"/>
        <item m="1" x="15"/>
        <item m="1" x="14"/>
        <item m="1" x="13"/>
        <item m="1" x="12"/>
        <item m="1" x="11"/>
        <item m="1" x="7"/>
        <item m="1" x="8"/>
        <item m="1" x="9"/>
        <item m="1" x="10"/>
        <item m="1" x="6"/>
        <item m="1" x="5"/>
        <item x="0"/>
        <item x="1"/>
        <item x="2"/>
        <item x="3"/>
        <item x="4"/>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2">
        <item x="1"/>
        <item x="0"/>
      </items>
    </pivotField>
  </pivotFields>
  <rowFields count="1">
    <field x="5"/>
  </rowFields>
  <rowItems count="6">
    <i>
      <x v="12"/>
    </i>
    <i>
      <x v="13"/>
    </i>
    <i>
      <x v="14"/>
    </i>
    <i>
      <x v="15"/>
    </i>
    <i>
      <x v="16"/>
    </i>
    <i t="grand">
      <x/>
    </i>
  </rowItems>
  <colItems count="1">
    <i/>
  </colItems>
  <dataFields count="1">
    <dataField name="Sum of Normativ montaža" fld="20" baseField="0" baseItem="0"/>
  </dataFields>
  <formats count="13">
    <format dxfId="148">
      <pivotArea field="5" type="button" dataOnly="0" labelOnly="1" outline="0" axis="axisRow" fieldPosition="0"/>
    </format>
    <format dxfId="147">
      <pivotArea dataOnly="0" labelOnly="1" outline="0" axis="axisValues" fieldPosition="0"/>
    </format>
    <format dxfId="146">
      <pivotArea field="5" type="button" dataOnly="0" labelOnly="1" outline="0" axis="axisRow" fieldPosition="0"/>
    </format>
    <format dxfId="145">
      <pivotArea dataOnly="0" labelOnly="1" outline="0" axis="axisValues" fieldPosition="0"/>
    </format>
    <format dxfId="144">
      <pivotArea field="5" type="button" dataOnly="0" labelOnly="1" outline="0" axis="axisRow" fieldPosition="0"/>
    </format>
    <format dxfId="143">
      <pivotArea dataOnly="0" labelOnly="1" outline="0" axis="axisValues" fieldPosition="0"/>
    </format>
    <format dxfId="142">
      <pivotArea field="5" type="button" dataOnly="0" labelOnly="1" outline="0" axis="axisRow" fieldPosition="0"/>
    </format>
    <format dxfId="141">
      <pivotArea dataOnly="0" labelOnly="1" outline="0" axis="axisValues" fieldPosition="0"/>
    </format>
    <format dxfId="140">
      <pivotArea collapsedLevelsAreSubtotals="1" fieldPosition="0">
        <references count="1">
          <reference field="5" count="0"/>
        </references>
      </pivotArea>
    </format>
    <format dxfId="139">
      <pivotArea dataOnly="0" labelOnly="1" fieldPosition="0">
        <references count="1">
          <reference field="5" count="0"/>
        </references>
      </pivotArea>
    </format>
    <format dxfId="138">
      <pivotArea collapsedLevelsAreSubtotals="1" fieldPosition="0">
        <references count="1">
          <reference field="5" count="0"/>
        </references>
      </pivotArea>
    </format>
    <format dxfId="137">
      <pivotArea dataOnly="0" labelOnly="1" fieldPosition="0">
        <references count="1">
          <reference field="5" count="0"/>
        </references>
      </pivotArea>
    </format>
    <format dxfId="1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00F1BE-C7DE-49D1-A4DE-370499741ED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E6:J86" firstHeaderRow="1" firstDataRow="1" firstDataCol="5" rowPageCount="1" colPageCount="1"/>
  <pivotFields count="25">
    <pivotField compact="0" outline="0" subtotalTop="0" showAll="0" defaultSubtotal="0"/>
    <pivotField compact="0" outline="0" subtotalTop="0" showAll="0" defaultSubtotal="0"/>
    <pivotField axis="axisRow" compact="0" outline="0" showAll="0" defaultSubtotal="0">
      <items count="52">
        <item m="1" x="51"/>
        <item x="9"/>
        <item m="1" x="31"/>
        <item m="1" x="25"/>
        <item m="1" x="49"/>
        <item x="20"/>
        <item m="1" x="50"/>
        <item m="1" x="24"/>
        <item x="13"/>
        <item x="7"/>
        <item m="1" x="29"/>
        <item m="1" x="48"/>
        <item m="1" x="37"/>
        <item x="0"/>
        <item x="18"/>
        <item m="1" x="45"/>
        <item m="1" x="46"/>
        <item m="1" x="34"/>
        <item x="2"/>
        <item m="1" x="47"/>
        <item m="1" x="41"/>
        <item x="10"/>
        <item m="1" x="36"/>
        <item m="1" x="38"/>
        <item m="1" x="42"/>
        <item m="1" x="43"/>
        <item m="1" x="23"/>
        <item m="1" x="44"/>
        <item m="1" x="40"/>
        <item x="17"/>
        <item m="1" x="39"/>
        <item x="6"/>
        <item m="1" x="35"/>
        <item m="1" x="33"/>
        <item x="5"/>
        <item x="16"/>
        <item m="1" x="32"/>
        <item m="1" x="28"/>
        <item x="4"/>
        <item m="1" x="22"/>
        <item x="8"/>
        <item x="21"/>
        <item m="1" x="30"/>
        <item x="15"/>
        <item m="1" x="26"/>
        <item m="1" x="27"/>
        <item x="1"/>
        <item x="3"/>
        <item x="11"/>
        <item x="12"/>
        <item x="14"/>
        <item x="19"/>
      </items>
    </pivotField>
    <pivotField axis="axisRow" compact="0" numFmtId="14" outline="0" showAll="0" defaultSubtotal="0">
      <items count="16">
        <item x="1"/>
        <item x="9"/>
        <item x="3"/>
        <item x="6"/>
        <item x="10"/>
        <item x="0"/>
        <item x="5"/>
        <item x="7"/>
        <item x="11"/>
        <item x="2"/>
        <item x="4"/>
        <item x="8"/>
        <item x="12"/>
        <item x="13"/>
        <item x="14"/>
        <item x="15"/>
      </items>
    </pivotField>
    <pivotField compact="0" outline="0" showAll="0" defaultSubtotal="0"/>
    <pivotField compact="0" outline="0" subtotalTop="0" showAll="0" defaultSubtotal="0"/>
    <pivotField compact="0" numFmtId="14" outline="0" subtotalTop="0" showAll="0" defaultSubtotal="0"/>
    <pivotField axis="axisRow" compact="0" outline="0" showAll="0" defaultSubtotal="0">
      <items count="189">
        <item x="28"/>
        <item m="1" x="108"/>
        <item m="1" x="175"/>
        <item m="1" x="173"/>
        <item m="1" x="187"/>
        <item m="1" x="188"/>
        <item m="1" x="186"/>
        <item x="68"/>
        <item x="23"/>
        <item m="1" x="185"/>
        <item x="75"/>
        <item m="1" x="184"/>
        <item m="1" x="158"/>
        <item m="1" x="174"/>
        <item x="30"/>
        <item x="16"/>
        <item x="21"/>
        <item x="72"/>
        <item m="1" x="129"/>
        <item x="71"/>
        <item m="1" x="112"/>
        <item x="8"/>
        <item m="1" x="87"/>
        <item m="1" x="95"/>
        <item x="47"/>
        <item m="1" x="133"/>
        <item m="1" x="182"/>
        <item m="1" x="93"/>
        <item m="1" x="104"/>
        <item m="1" x="151"/>
        <item x="22"/>
        <item m="1" x="183"/>
        <item x="55"/>
        <item m="1" x="110"/>
        <item x="1"/>
        <item m="1" x="103"/>
        <item m="1" x="181"/>
        <item m="1" x="176"/>
        <item x="58"/>
        <item m="1" x="177"/>
        <item m="1" x="178"/>
        <item m="1" x="179"/>
        <item m="1" x="180"/>
        <item m="1" x="166"/>
        <item x="56"/>
        <item m="1" x="167"/>
        <item x="3"/>
        <item x="74"/>
        <item x="14"/>
        <item m="1" x="131"/>
        <item m="1" x="168"/>
        <item m="1" x="169"/>
        <item m="1" x="170"/>
        <item m="1" x="171"/>
        <item m="1" x="96"/>
        <item x="59"/>
        <item m="1" x="105"/>
        <item x="42"/>
        <item x="33"/>
        <item m="1" x="172"/>
        <item x="4"/>
        <item x="43"/>
        <item m="1" x="90"/>
        <item x="60"/>
        <item x="9"/>
        <item x="81"/>
        <item x="44"/>
        <item x="45"/>
        <item x="11"/>
        <item m="1" x="85"/>
        <item x="15"/>
        <item x="29"/>
        <item x="39"/>
        <item x="6"/>
        <item x="40"/>
        <item m="1" x="155"/>
        <item m="1" x="88"/>
        <item m="1" x="156"/>
        <item x="53"/>
        <item x="17"/>
        <item m="1" x="157"/>
        <item m="1" x="118"/>
        <item x="37"/>
        <item m="1" x="159"/>
        <item m="1" x="160"/>
        <item m="1" x="136"/>
        <item x="54"/>
        <item m="1" x="140"/>
        <item x="52"/>
        <item x="10"/>
        <item m="1" x="161"/>
        <item m="1" x="137"/>
        <item m="1" x="142"/>
        <item m="1" x="162"/>
        <item m="1" x="163"/>
        <item m="1" x="164"/>
        <item m="1" x="152"/>
        <item m="1" x="153"/>
        <item m="1" x="154"/>
        <item m="1" x="120"/>
        <item x="67"/>
        <item m="1" x="165"/>
        <item m="1" x="150"/>
        <item m="1" x="143"/>
        <item m="1" x="144"/>
        <item m="1" x="145"/>
        <item m="1" x="146"/>
        <item m="1" x="91"/>
        <item m="1" x="147"/>
        <item m="1" x="148"/>
        <item m="1" x="141"/>
        <item m="1" x="121"/>
        <item m="1" x="122"/>
        <item m="1" x="123"/>
        <item m="1" x="124"/>
        <item m="1" x="100"/>
        <item m="1" x="119"/>
        <item m="1" x="149"/>
        <item x="32"/>
        <item m="1" x="127"/>
        <item m="1" x="138"/>
        <item m="1" x="113"/>
        <item x="2"/>
        <item x="24"/>
        <item x="70"/>
        <item x="18"/>
        <item x="19"/>
        <item x="20"/>
        <item m="1" x="117"/>
        <item m="1" x="114"/>
        <item m="1" x="115"/>
        <item m="1" x="139"/>
        <item m="1" x="116"/>
        <item x="12"/>
        <item x="13"/>
        <item m="1" x="128"/>
        <item m="1" x="84"/>
        <item m="1" x="98"/>
        <item m="1" x="126"/>
        <item x="69"/>
        <item m="1" x="86"/>
        <item m="1" x="89"/>
        <item m="1" x="92"/>
        <item m="1" x="94"/>
        <item x="48"/>
        <item m="1" x="97"/>
        <item x="0"/>
        <item x="73"/>
        <item m="1" x="130"/>
        <item m="1" x="132"/>
        <item x="36"/>
        <item m="1" x="134"/>
        <item m="1" x="135"/>
        <item x="25"/>
        <item m="1" x="125"/>
        <item m="1" x="109"/>
        <item x="63"/>
        <item x="41"/>
        <item x="34"/>
        <item x="38"/>
        <item m="1" x="111"/>
        <item x="65"/>
        <item m="1" x="99"/>
        <item m="1" x="101"/>
        <item m="1" x="102"/>
        <item m="1" x="106"/>
        <item x="5"/>
        <item x="7"/>
        <item x="46"/>
        <item x="49"/>
        <item m="1" x="107"/>
        <item x="31"/>
        <item x="57"/>
        <item x="61"/>
        <item x="62"/>
        <item x="64"/>
        <item x="66"/>
        <item x="26"/>
        <item x="27"/>
        <item x="35"/>
        <item x="50"/>
        <item x="51"/>
        <item x="76"/>
        <item x="77"/>
        <item x="78"/>
        <item x="79"/>
        <item x="80"/>
        <item x="82"/>
        <item x="83"/>
      </items>
    </pivotField>
    <pivotField axis="axisRow" compact="0" outline="0" showAll="0" defaultSubtotal="0">
      <items count="193">
        <item m="1" x="177"/>
        <item m="1" x="190"/>
        <item x="69"/>
        <item m="1" x="189"/>
        <item m="1" x="179"/>
        <item m="1" x="191"/>
        <item m="1" x="109"/>
        <item x="23"/>
        <item x="28"/>
        <item m="1" x="192"/>
        <item x="76"/>
        <item m="1" x="188"/>
        <item m="1" x="161"/>
        <item m="1" x="178"/>
        <item x="30"/>
        <item x="16"/>
        <item x="21"/>
        <item x="73"/>
        <item m="1" x="130"/>
        <item x="72"/>
        <item m="1" x="113"/>
        <item x="8"/>
        <item m="1" x="88"/>
        <item m="1" x="96"/>
        <item x="47"/>
        <item m="1" x="134"/>
        <item m="1" x="186"/>
        <item m="1" x="94"/>
        <item m="1" x="105"/>
        <item m="1" x="154"/>
        <item x="22"/>
        <item m="1" x="187"/>
        <item x="55"/>
        <item m="1" x="111"/>
        <item x="1"/>
        <item m="1" x="104"/>
        <item m="1" x="185"/>
        <item m="1" x="180"/>
        <item x="59"/>
        <item m="1" x="181"/>
        <item m="1" x="182"/>
        <item m="1" x="183"/>
        <item m="1" x="184"/>
        <item m="1" x="170"/>
        <item m="1" x="162"/>
        <item m="1" x="171"/>
        <item x="3"/>
        <item x="75"/>
        <item x="14"/>
        <item m="1" x="132"/>
        <item m="1" x="172"/>
        <item m="1" x="173"/>
        <item m="1" x="174"/>
        <item m="1" x="175"/>
        <item m="1" x="97"/>
        <item x="60"/>
        <item m="1" x="106"/>
        <item x="42"/>
        <item x="33"/>
        <item m="1" x="176"/>
        <item x="4"/>
        <item x="43"/>
        <item m="1" x="91"/>
        <item x="61"/>
        <item x="9"/>
        <item x="82"/>
        <item x="44"/>
        <item x="45"/>
        <item x="11"/>
        <item m="1" x="86"/>
        <item x="15"/>
        <item x="29"/>
        <item x="39"/>
        <item x="6"/>
        <item x="40"/>
        <item m="1" x="158"/>
        <item m="1" x="89"/>
        <item m="1" x="159"/>
        <item x="53"/>
        <item x="17"/>
        <item m="1" x="160"/>
        <item m="1" x="119"/>
        <item x="37"/>
        <item m="1" x="163"/>
        <item m="1" x="164"/>
        <item m="1" x="137"/>
        <item x="54"/>
        <item m="1" x="143"/>
        <item x="52"/>
        <item x="10"/>
        <item m="1" x="165"/>
        <item m="1" x="138"/>
        <item m="1" x="145"/>
        <item m="1" x="166"/>
        <item m="1" x="167"/>
        <item m="1" x="168"/>
        <item m="1" x="155"/>
        <item m="1" x="156"/>
        <item m="1" x="157"/>
        <item m="1" x="121"/>
        <item m="1" x="139"/>
        <item x="68"/>
        <item m="1" x="169"/>
        <item m="1" x="153"/>
        <item m="1" x="146"/>
        <item m="1" x="147"/>
        <item m="1" x="148"/>
        <item m="1" x="149"/>
        <item m="1" x="92"/>
        <item m="1" x="150"/>
        <item m="1" x="151"/>
        <item m="1" x="144"/>
        <item m="1" x="122"/>
        <item m="1" x="123"/>
        <item m="1" x="124"/>
        <item m="1" x="125"/>
        <item m="1" x="101"/>
        <item m="1" x="120"/>
        <item m="1" x="152"/>
        <item x="32"/>
        <item m="1" x="128"/>
        <item m="1" x="140"/>
        <item m="1" x="114"/>
        <item x="2"/>
        <item x="24"/>
        <item x="71"/>
        <item x="18"/>
        <item x="19"/>
        <item x="20"/>
        <item m="1" x="118"/>
        <item m="1" x="142"/>
        <item m="1" x="115"/>
        <item m="1" x="116"/>
        <item m="1" x="141"/>
        <item m="1" x="117"/>
        <item x="12"/>
        <item x="13"/>
        <item m="1" x="129"/>
        <item m="1" x="85"/>
        <item m="1" x="99"/>
        <item m="1" x="127"/>
        <item x="70"/>
        <item m="1" x="87"/>
        <item m="1" x="90"/>
        <item m="1" x="93"/>
        <item m="1" x="95"/>
        <item x="48"/>
        <item m="1" x="98"/>
        <item x="0"/>
        <item x="74"/>
        <item m="1" x="131"/>
        <item m="1" x="133"/>
        <item x="36"/>
        <item m="1" x="135"/>
        <item m="1" x="136"/>
        <item x="25"/>
        <item m="1" x="126"/>
        <item m="1" x="110"/>
        <item x="64"/>
        <item x="41"/>
        <item x="34"/>
        <item x="38"/>
        <item x="56"/>
        <item x="57"/>
        <item m="1" x="112"/>
        <item x="66"/>
        <item m="1" x="100"/>
        <item m="1" x="102"/>
        <item m="1" x="103"/>
        <item m="1" x="107"/>
        <item x="5"/>
        <item x="7"/>
        <item x="46"/>
        <item x="49"/>
        <item m="1" x="108"/>
        <item x="31"/>
        <item x="58"/>
        <item x="62"/>
        <item x="63"/>
        <item x="65"/>
        <item x="67"/>
        <item x="26"/>
        <item x="27"/>
        <item x="35"/>
        <item x="50"/>
        <item x="51"/>
        <item x="77"/>
        <item x="78"/>
        <item x="79"/>
        <item x="80"/>
        <item x="81"/>
        <item x="83"/>
        <item x="84"/>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4">
        <item x="3"/>
        <item x="0"/>
        <item x="2"/>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
        <item x="1"/>
        <item x="0"/>
      </items>
    </pivotField>
  </pivotFields>
  <rowFields count="5">
    <field x="24"/>
    <field x="3"/>
    <field x="2"/>
    <field x="8"/>
    <field x="7"/>
  </rowFields>
  <rowItems count="80">
    <i>
      <x/>
      <x/>
      <x v="1"/>
      <x v="160"/>
      <x v="158"/>
    </i>
    <i r="2">
      <x v="18"/>
      <x v="64"/>
      <x v="64"/>
    </i>
    <i r="2">
      <x v="31"/>
      <x v="155"/>
      <x v="153"/>
    </i>
    <i r="3">
      <x v="181"/>
      <x v="177"/>
    </i>
    <i r="3">
      <x v="182"/>
      <x v="178"/>
    </i>
    <i r="2">
      <x v="34"/>
      <x v="7"/>
      <x v="8"/>
    </i>
    <i r="3">
      <x v="123"/>
      <x v="122"/>
    </i>
    <i r="3">
      <x v="126"/>
      <x v="125"/>
    </i>
    <i r="3">
      <x v="127"/>
      <x v="126"/>
    </i>
    <i r="3">
      <x v="128"/>
      <x v="127"/>
    </i>
    <i r="2">
      <x v="38"/>
      <x v="48"/>
      <x v="48"/>
    </i>
    <i r="3">
      <x v="136"/>
      <x v="134"/>
    </i>
    <i r="2">
      <x v="40"/>
      <x v="119"/>
      <x v="118"/>
    </i>
    <i r="2">
      <x v="46"/>
      <x v="171"/>
      <x v="167"/>
    </i>
    <i r="2">
      <x v="47"/>
      <x v="89"/>
      <x v="89"/>
    </i>
    <i r="1">
      <x v="1"/>
      <x v="14"/>
      <x v="7"/>
      <x v="8"/>
    </i>
    <i r="3">
      <x v="64"/>
      <x v="64"/>
    </i>
    <i r="3">
      <x v="161"/>
      <x v="159"/>
    </i>
    <i r="2">
      <x v="51"/>
      <x v="38"/>
      <x v="38"/>
    </i>
    <i r="3">
      <x v="48"/>
      <x v="48"/>
    </i>
    <i r="3">
      <x v="55"/>
      <x v="55"/>
    </i>
    <i r="3">
      <x v="63"/>
      <x v="63"/>
    </i>
    <i r="3">
      <x v="64"/>
      <x v="64"/>
    </i>
    <i r="3">
      <x v="158"/>
      <x v="156"/>
    </i>
    <i r="3">
      <x v="165"/>
      <x v="161"/>
    </i>
    <i r="1">
      <x v="2"/>
      <x v="1"/>
      <x v="48"/>
      <x v="48"/>
    </i>
    <i r="3">
      <x v="61"/>
      <x v="61"/>
    </i>
    <i r="3">
      <x v="66"/>
      <x v="66"/>
    </i>
    <i r="3">
      <x v="67"/>
      <x v="67"/>
    </i>
    <i r="3">
      <x v="172"/>
      <x v="168"/>
    </i>
    <i r="2">
      <x v="13"/>
      <x v="64"/>
      <x v="64"/>
    </i>
    <i r="3">
      <x v="161"/>
      <x v="159"/>
    </i>
    <i r="2">
      <x v="21"/>
      <x v="152"/>
      <x v="150"/>
    </i>
    <i r="2">
      <x v="48"/>
      <x v="48"/>
      <x v="48"/>
    </i>
    <i r="3">
      <x v="126"/>
      <x v="125"/>
    </i>
    <i r="2">
      <x v="49"/>
      <x v="173"/>
      <x v="169"/>
    </i>
    <i r="1">
      <x v="4"/>
      <x v="1"/>
      <x v="2"/>
      <x v="7"/>
    </i>
    <i r="3">
      <x v="7"/>
      <x v="8"/>
    </i>
    <i r="3">
      <x v="19"/>
      <x v="19"/>
    </i>
    <i r="3">
      <x v="48"/>
      <x v="48"/>
    </i>
    <i r="3">
      <x v="66"/>
      <x v="66"/>
    </i>
    <i r="3">
      <x v="67"/>
      <x v="67"/>
    </i>
    <i r="3">
      <x v="125"/>
      <x v="124"/>
    </i>
    <i r="3">
      <x v="141"/>
      <x v="139"/>
    </i>
    <i r="1">
      <x v="5"/>
      <x v="13"/>
      <x v="123"/>
      <x v="122"/>
    </i>
    <i r="1">
      <x v="7"/>
      <x v="35"/>
      <x v="7"/>
      <x v="8"/>
    </i>
    <i r="3">
      <x v="78"/>
      <x v="78"/>
    </i>
    <i r="1">
      <x v="8"/>
      <x v="1"/>
      <x v="47"/>
      <x v="47"/>
    </i>
    <i r="3">
      <x v="61"/>
      <x v="61"/>
    </i>
    <i r="2">
      <x v="8"/>
      <x v="149"/>
      <x v="147"/>
    </i>
    <i r="3">
      <x v="155"/>
      <x v="153"/>
    </i>
    <i r="3">
      <x v="165"/>
      <x v="161"/>
    </i>
    <i r="1">
      <x v="11"/>
      <x v="29"/>
      <x v="32"/>
      <x v="32"/>
    </i>
    <i r="3">
      <x v="119"/>
      <x v="118"/>
    </i>
    <i r="1">
      <x v="12"/>
      <x v="1"/>
      <x v="47"/>
      <x v="47"/>
    </i>
    <i r="3">
      <x v="48"/>
      <x v="48"/>
    </i>
    <i r="3">
      <x v="57"/>
      <x v="57"/>
    </i>
    <i r="3">
      <x v="61"/>
      <x v="61"/>
    </i>
    <i r="3">
      <x v="66"/>
      <x v="66"/>
    </i>
    <i r="3">
      <x v="67"/>
      <x v="67"/>
    </i>
    <i r="2">
      <x v="48"/>
      <x v="48"/>
      <x v="48"/>
    </i>
    <i r="3">
      <x v="126"/>
      <x v="125"/>
    </i>
    <i r="1">
      <x v="13"/>
      <x v="5"/>
      <x v="55"/>
      <x v="55"/>
    </i>
    <i r="1">
      <x v="14"/>
      <x v="13"/>
      <x v="32"/>
      <x v="32"/>
    </i>
    <i r="3">
      <x v="186"/>
      <x v="182"/>
    </i>
    <i r="3">
      <x v="187"/>
      <x v="183"/>
    </i>
    <i r="3">
      <x v="188"/>
      <x v="184"/>
    </i>
    <i r="3">
      <x v="189"/>
      <x v="185"/>
    </i>
    <i r="3">
      <x v="190"/>
      <x v="186"/>
    </i>
    <i r="1">
      <x v="15"/>
      <x v="13"/>
      <x v="123"/>
      <x v="122"/>
    </i>
    <i r="2">
      <x v="31"/>
      <x v="32"/>
      <x v="32"/>
    </i>
    <i r="3">
      <x v="34"/>
      <x v="34"/>
    </i>
    <i r="3">
      <x v="119"/>
      <x v="118"/>
    </i>
    <i r="3">
      <x v="155"/>
      <x v="153"/>
    </i>
    <i r="3">
      <x v="181"/>
      <x v="177"/>
    </i>
    <i r="3">
      <x v="182"/>
      <x v="178"/>
    </i>
    <i r="2">
      <x v="41"/>
      <x v="38"/>
      <x v="38"/>
    </i>
    <i r="3">
      <x v="191"/>
      <x v="187"/>
    </i>
    <i r="3">
      <x v="192"/>
      <x v="188"/>
    </i>
    <i t="grand">
      <x/>
    </i>
  </rowItems>
  <colItems count="1">
    <i/>
  </colItems>
  <pageFields count="1">
    <pageField fld="18" item="2" hier="-1"/>
  </pageFields>
  <dataFields count="1">
    <dataField name="Sum of Količina" fld="9" baseField="0" baseItem="0"/>
  </dataFields>
  <formats count="37">
    <format dxfId="54">
      <pivotArea field="3" type="button" dataOnly="0" labelOnly="1" outline="0" axis="axisRow" fieldPosition="1"/>
    </format>
    <format dxfId="53">
      <pivotArea field="2" type="button" dataOnly="0" labelOnly="1" outline="0" axis="axisRow" fieldPosition="2"/>
    </format>
    <format dxfId="52">
      <pivotArea field="8" type="button" dataOnly="0" labelOnly="1" outline="0" axis="axisRow" fieldPosition="3"/>
    </format>
    <format dxfId="51">
      <pivotArea field="7" type="button" dataOnly="0" labelOnly="1" outline="0" axis="axisRow" fieldPosition="4"/>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3" type="button" dataOnly="0" labelOnly="1" outline="0" axis="axisRow" fieldPosition="1"/>
    </format>
    <format dxfId="46">
      <pivotArea field="2" type="button" dataOnly="0" labelOnly="1" outline="0" axis="axisRow" fieldPosition="2"/>
    </format>
    <format dxfId="45">
      <pivotArea field="8" type="button" dataOnly="0" labelOnly="1" outline="0" axis="axisRow" fieldPosition="3"/>
    </format>
    <format dxfId="44">
      <pivotArea field="7" type="button" dataOnly="0" labelOnly="1" outline="0" axis="axisRow" fieldPosition="4"/>
    </format>
    <format dxfId="43">
      <pivotArea dataOnly="0" labelOnly="1" outline="0" fieldPosition="0">
        <references count="1">
          <reference field="3" count="0"/>
        </references>
      </pivotArea>
    </format>
    <format dxfId="42">
      <pivotArea dataOnly="0" labelOnly="1" grandRow="1" outline="0" fieldPosition="0"/>
    </format>
    <format dxfId="41">
      <pivotArea dataOnly="0" labelOnly="1" outline="0" axis="axisValues" fieldPosition="0"/>
    </format>
    <format dxfId="40">
      <pivotArea field="3" type="button" dataOnly="0" labelOnly="1" outline="0" axis="axisRow" fieldPosition="1"/>
    </format>
    <format dxfId="39">
      <pivotArea field="2" type="button" dataOnly="0" labelOnly="1" outline="0" axis="axisRow" fieldPosition="2"/>
    </format>
    <format dxfId="38">
      <pivotArea field="8" type="button" dataOnly="0" labelOnly="1" outline="0" axis="axisRow" fieldPosition="3"/>
    </format>
    <format dxfId="37">
      <pivotArea field="7" type="button" dataOnly="0" labelOnly="1" outline="0" axis="axisRow" fieldPosition="4"/>
    </format>
    <format dxfId="36">
      <pivotArea dataOnly="0" labelOnly="1" outline="0" axis="axisValues" fieldPosition="0"/>
    </format>
    <format dxfId="35">
      <pivotArea field="3" type="button" dataOnly="0" labelOnly="1" outline="0" axis="axisRow" fieldPosition="1"/>
    </format>
    <format dxfId="34">
      <pivotArea field="2" type="button" dataOnly="0" labelOnly="1" outline="0" axis="axisRow" fieldPosition="2"/>
    </format>
    <format dxfId="33">
      <pivotArea field="8" type="button" dataOnly="0" labelOnly="1" outline="0" axis="axisRow" fieldPosition="3"/>
    </format>
    <format dxfId="32">
      <pivotArea field="7" type="button" dataOnly="0" labelOnly="1" outline="0" axis="axisRow" fieldPosition="4"/>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3" type="button" dataOnly="0" labelOnly="1" outline="0" axis="axisRow" fieldPosition="1"/>
    </format>
    <format dxfId="27">
      <pivotArea field="2" type="button" dataOnly="0" labelOnly="1" outline="0" axis="axisRow" fieldPosition="2"/>
    </format>
    <format dxfId="26">
      <pivotArea field="8" type="button" dataOnly="0" labelOnly="1" outline="0" axis="axisRow" fieldPosition="3"/>
    </format>
    <format dxfId="25">
      <pivotArea field="7" type="button" dataOnly="0" labelOnly="1" outline="0" axis="axisRow" fieldPosition="4"/>
    </format>
    <format dxfId="24">
      <pivotArea dataOnly="0" labelOnly="1" outline="0" fieldPosition="0">
        <references count="1">
          <reference field="3" count="0"/>
        </references>
      </pivotArea>
    </format>
    <format dxfId="23">
      <pivotArea dataOnly="0" labelOnly="1" grandRow="1" outline="0" fieldPosition="0"/>
    </format>
    <format dxfId="22">
      <pivotArea dataOnly="0" labelOnly="1" outline="0" axis="axisValues" fieldPosition="0"/>
    </format>
    <format dxfId="21">
      <pivotArea outline="0" collapsedLevelsAreSubtotals="1" fieldPosition="0"/>
    </format>
    <format dxfId="20">
      <pivotArea dataOnly="0" labelOnly="1" outline="0" axis="axisValues" fieldPosition="0"/>
    </format>
    <format dxfId="19">
      <pivotArea outline="0" collapsedLevelsAreSubtotals="1" fieldPosition="0"/>
    </format>
    <format dxfId="18">
      <pivotArea dataOnly="0" labelOnly="1" outline="0" axis="axisValues"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46E7EB-A022-4668-9A92-2A733E9DEFC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Q6:V33" firstHeaderRow="1" firstDataRow="1" firstDataCol="5" rowPageCount="1" colPageCount="1"/>
  <pivotFields count="25">
    <pivotField compact="0" outline="0" subtotalTop="0" showAll="0" defaultSubtotal="0"/>
    <pivotField compact="0" outline="0" subtotalTop="0" showAll="0" defaultSubtotal="0"/>
    <pivotField axis="axisRow" compact="0" outline="0" showAll="0" defaultSubtotal="0">
      <items count="52">
        <item m="1" x="51"/>
        <item x="9"/>
        <item m="1" x="31"/>
        <item m="1" x="25"/>
        <item m="1" x="49"/>
        <item x="20"/>
        <item m="1" x="50"/>
        <item m="1" x="24"/>
        <item x="13"/>
        <item x="7"/>
        <item m="1" x="29"/>
        <item m="1" x="48"/>
        <item m="1" x="37"/>
        <item x="0"/>
        <item x="18"/>
        <item m="1" x="45"/>
        <item m="1" x="46"/>
        <item m="1" x="34"/>
        <item x="2"/>
        <item m="1" x="47"/>
        <item m="1" x="41"/>
        <item x="10"/>
        <item m="1" x="36"/>
        <item m="1" x="38"/>
        <item m="1" x="42"/>
        <item m="1" x="43"/>
        <item m="1" x="23"/>
        <item m="1" x="44"/>
        <item m="1" x="40"/>
        <item x="17"/>
        <item m="1" x="39"/>
        <item x="6"/>
        <item m="1" x="35"/>
        <item m="1" x="33"/>
        <item x="5"/>
        <item x="16"/>
        <item m="1" x="32"/>
        <item m="1" x="28"/>
        <item x="4"/>
        <item m="1" x="22"/>
        <item x="8"/>
        <item x="21"/>
        <item m="1" x="30"/>
        <item x="15"/>
        <item m="1" x="26"/>
        <item m="1" x="27"/>
        <item x="1"/>
        <item x="3"/>
        <item x="11"/>
        <item x="12"/>
        <item x="14"/>
        <item x="19"/>
      </items>
    </pivotField>
    <pivotField axis="axisRow" compact="0" numFmtId="14" outline="0" showAll="0" defaultSubtotal="0">
      <items count="16">
        <item x="1"/>
        <item x="9"/>
        <item x="3"/>
        <item x="6"/>
        <item x="10"/>
        <item x="0"/>
        <item x="5"/>
        <item x="7"/>
        <item x="11"/>
        <item x="2"/>
        <item x="4"/>
        <item x="8"/>
        <item x="12"/>
        <item x="13"/>
        <item x="14"/>
        <item x="15"/>
      </items>
    </pivotField>
    <pivotField compact="0" outline="0" showAll="0" defaultSubtotal="0"/>
    <pivotField compact="0" outline="0" subtotalTop="0" showAll="0" defaultSubtotal="0"/>
    <pivotField compact="0" numFmtId="14" outline="0" subtotalTop="0" showAll="0" defaultSubtotal="0"/>
    <pivotField axis="axisRow" compact="0" outline="0" showAll="0" defaultSubtotal="0">
      <items count="189">
        <item x="28"/>
        <item m="1" x="108"/>
        <item m="1" x="175"/>
        <item m="1" x="173"/>
        <item x="30"/>
        <item m="1" x="187"/>
        <item m="1" x="188"/>
        <item m="1" x="186"/>
        <item x="68"/>
        <item x="75"/>
        <item x="23"/>
        <item m="1" x="185"/>
        <item m="1" x="184"/>
        <item m="1" x="174"/>
        <item m="1" x="158"/>
        <item x="16"/>
        <item x="21"/>
        <item x="72"/>
        <item m="1" x="129"/>
        <item x="71"/>
        <item m="1" x="112"/>
        <item x="8"/>
        <item m="1" x="87"/>
        <item m="1" x="95"/>
        <item x="47"/>
        <item m="1" x="133"/>
        <item m="1" x="182"/>
        <item m="1" x="93"/>
        <item m="1" x="104"/>
        <item m="1" x="151"/>
        <item x="22"/>
        <item m="1" x="183"/>
        <item x="55"/>
        <item m="1" x="110"/>
        <item x="1"/>
        <item m="1" x="103"/>
        <item m="1" x="181"/>
        <item m="1" x="176"/>
        <item x="58"/>
        <item m="1" x="177"/>
        <item m="1" x="178"/>
        <item m="1" x="179"/>
        <item m="1" x="180"/>
        <item m="1" x="166"/>
        <item x="56"/>
        <item m="1" x="167"/>
        <item x="3"/>
        <item x="74"/>
        <item x="14"/>
        <item m="1" x="131"/>
        <item m="1" x="168"/>
        <item m="1" x="169"/>
        <item m="1" x="170"/>
        <item m="1" x="171"/>
        <item m="1" x="96"/>
        <item x="59"/>
        <item m="1" x="105"/>
        <item x="42"/>
        <item x="33"/>
        <item m="1" x="172"/>
        <item x="4"/>
        <item x="43"/>
        <item m="1" x="90"/>
        <item x="60"/>
        <item x="9"/>
        <item x="81"/>
        <item x="44"/>
        <item x="45"/>
        <item x="11"/>
        <item m="1" x="85"/>
        <item x="15"/>
        <item x="29"/>
        <item x="39"/>
        <item x="6"/>
        <item x="40"/>
        <item m="1" x="155"/>
        <item m="1" x="88"/>
        <item m="1" x="156"/>
        <item x="53"/>
        <item x="17"/>
        <item m="1" x="157"/>
        <item m="1" x="118"/>
        <item x="37"/>
        <item m="1" x="159"/>
        <item m="1" x="160"/>
        <item m="1" x="136"/>
        <item x="54"/>
        <item m="1" x="140"/>
        <item x="52"/>
        <item x="10"/>
        <item m="1" x="161"/>
        <item m="1" x="137"/>
        <item m="1" x="142"/>
        <item m="1" x="162"/>
        <item m="1" x="163"/>
        <item m="1" x="164"/>
        <item m="1" x="152"/>
        <item m="1" x="153"/>
        <item m="1" x="154"/>
        <item m="1" x="120"/>
        <item x="67"/>
        <item m="1" x="165"/>
        <item m="1" x="150"/>
        <item m="1" x="143"/>
        <item m="1" x="144"/>
        <item m="1" x="145"/>
        <item m="1" x="146"/>
        <item m="1" x="91"/>
        <item m="1" x="147"/>
        <item m="1" x="148"/>
        <item m="1" x="141"/>
        <item m="1" x="121"/>
        <item m="1" x="122"/>
        <item m="1" x="123"/>
        <item m="1" x="124"/>
        <item m="1" x="100"/>
        <item m="1" x="119"/>
        <item m="1" x="149"/>
        <item x="32"/>
        <item m="1" x="127"/>
        <item m="1" x="138"/>
        <item m="1" x="113"/>
        <item x="2"/>
        <item x="24"/>
        <item x="70"/>
        <item x="18"/>
        <item x="19"/>
        <item x="20"/>
        <item m="1" x="117"/>
        <item m="1" x="114"/>
        <item m="1" x="115"/>
        <item m="1" x="139"/>
        <item m="1" x="116"/>
        <item x="12"/>
        <item x="13"/>
        <item m="1" x="128"/>
        <item m="1" x="84"/>
        <item m="1" x="98"/>
        <item m="1" x="126"/>
        <item x="69"/>
        <item m="1" x="86"/>
        <item m="1" x="89"/>
        <item m="1" x="92"/>
        <item m="1" x="94"/>
        <item x="48"/>
        <item m="1" x="97"/>
        <item x="0"/>
        <item x="73"/>
        <item m="1" x="130"/>
        <item m="1" x="132"/>
        <item x="36"/>
        <item m="1" x="134"/>
        <item m="1" x="135"/>
        <item x="25"/>
        <item m="1" x="125"/>
        <item m="1" x="109"/>
        <item x="63"/>
        <item x="41"/>
        <item x="34"/>
        <item x="38"/>
        <item m="1" x="111"/>
        <item x="65"/>
        <item m="1" x="99"/>
        <item m="1" x="101"/>
        <item m="1" x="102"/>
        <item m="1" x="106"/>
        <item x="5"/>
        <item x="7"/>
        <item x="46"/>
        <item x="49"/>
        <item m="1" x="107"/>
        <item x="31"/>
        <item x="57"/>
        <item x="61"/>
        <item x="62"/>
        <item x="64"/>
        <item x="66"/>
        <item x="26"/>
        <item x="27"/>
        <item x="35"/>
        <item x="50"/>
        <item x="51"/>
        <item x="76"/>
        <item x="77"/>
        <item x="78"/>
        <item x="79"/>
        <item x="80"/>
        <item x="82"/>
        <item x="83"/>
      </items>
    </pivotField>
    <pivotField axis="axisRow" compact="0" outline="0" showAll="0" defaultSubtotal="0">
      <items count="193">
        <item m="1" x="177"/>
        <item m="1" x="190"/>
        <item x="69"/>
        <item m="1" x="189"/>
        <item m="1" x="188"/>
        <item m="1" x="161"/>
        <item m="1" x="178"/>
        <item m="1" x="179"/>
        <item m="1" x="191"/>
        <item x="30"/>
        <item m="1" x="109"/>
        <item x="76"/>
        <item x="23"/>
        <item x="28"/>
        <item m="1" x="192"/>
        <item x="16"/>
        <item x="21"/>
        <item x="73"/>
        <item m="1" x="130"/>
        <item x="72"/>
        <item m="1" x="113"/>
        <item x="8"/>
        <item m="1" x="88"/>
        <item m="1" x="96"/>
        <item x="47"/>
        <item m="1" x="134"/>
        <item m="1" x="186"/>
        <item m="1" x="94"/>
        <item m="1" x="105"/>
        <item m="1" x="154"/>
        <item x="22"/>
        <item m="1" x="187"/>
        <item x="55"/>
        <item m="1" x="111"/>
        <item x="1"/>
        <item m="1" x="104"/>
        <item m="1" x="185"/>
        <item m="1" x="180"/>
        <item x="59"/>
        <item m="1" x="181"/>
        <item m="1" x="182"/>
        <item m="1" x="183"/>
        <item m="1" x="184"/>
        <item m="1" x="170"/>
        <item m="1" x="162"/>
        <item m="1" x="171"/>
        <item x="3"/>
        <item x="75"/>
        <item x="14"/>
        <item m="1" x="132"/>
        <item m="1" x="172"/>
        <item m="1" x="173"/>
        <item m="1" x="174"/>
        <item m="1" x="175"/>
        <item m="1" x="97"/>
        <item x="60"/>
        <item m="1" x="106"/>
        <item x="42"/>
        <item x="33"/>
        <item m="1" x="176"/>
        <item x="4"/>
        <item x="43"/>
        <item m="1" x="91"/>
        <item x="61"/>
        <item x="9"/>
        <item x="82"/>
        <item x="44"/>
        <item x="45"/>
        <item x="11"/>
        <item m="1" x="86"/>
        <item x="15"/>
        <item x="29"/>
        <item x="39"/>
        <item x="6"/>
        <item x="40"/>
        <item m="1" x="158"/>
        <item m="1" x="89"/>
        <item m="1" x="159"/>
        <item x="53"/>
        <item x="17"/>
        <item m="1" x="160"/>
        <item m="1" x="119"/>
        <item x="37"/>
        <item m="1" x="163"/>
        <item m="1" x="164"/>
        <item m="1" x="137"/>
        <item x="54"/>
        <item m="1" x="143"/>
        <item x="52"/>
        <item x="10"/>
        <item m="1" x="165"/>
        <item m="1" x="138"/>
        <item m="1" x="145"/>
        <item m="1" x="166"/>
        <item m="1" x="167"/>
        <item m="1" x="168"/>
        <item m="1" x="155"/>
        <item m="1" x="156"/>
        <item m="1" x="157"/>
        <item m="1" x="121"/>
        <item m="1" x="139"/>
        <item x="68"/>
        <item m="1" x="169"/>
        <item m="1" x="153"/>
        <item m="1" x="146"/>
        <item m="1" x="147"/>
        <item m="1" x="148"/>
        <item m="1" x="149"/>
        <item m="1" x="92"/>
        <item m="1" x="150"/>
        <item m="1" x="151"/>
        <item m="1" x="144"/>
        <item m="1" x="122"/>
        <item m="1" x="123"/>
        <item m="1" x="124"/>
        <item m="1" x="125"/>
        <item m="1" x="101"/>
        <item m="1" x="120"/>
        <item m="1" x="152"/>
        <item x="32"/>
        <item m="1" x="128"/>
        <item m="1" x="140"/>
        <item m="1" x="114"/>
        <item x="2"/>
        <item x="24"/>
        <item x="71"/>
        <item x="18"/>
        <item x="19"/>
        <item x="20"/>
        <item m="1" x="118"/>
        <item m="1" x="142"/>
        <item m="1" x="115"/>
        <item m="1" x="116"/>
        <item m="1" x="141"/>
        <item m="1" x="117"/>
        <item x="12"/>
        <item x="13"/>
        <item m="1" x="129"/>
        <item m="1" x="85"/>
        <item m="1" x="99"/>
        <item m="1" x="127"/>
        <item x="70"/>
        <item m="1" x="87"/>
        <item m="1" x="90"/>
        <item m="1" x="93"/>
        <item m="1" x="95"/>
        <item x="48"/>
        <item m="1" x="98"/>
        <item x="0"/>
        <item x="74"/>
        <item m="1" x="131"/>
        <item m="1" x="133"/>
        <item x="36"/>
        <item m="1" x="135"/>
        <item m="1" x="136"/>
        <item x="25"/>
        <item m="1" x="126"/>
        <item m="1" x="110"/>
        <item x="64"/>
        <item x="41"/>
        <item x="34"/>
        <item x="38"/>
        <item x="56"/>
        <item x="57"/>
        <item m="1" x="112"/>
        <item x="66"/>
        <item m="1" x="100"/>
        <item m="1" x="102"/>
        <item m="1" x="103"/>
        <item m="1" x="107"/>
        <item x="5"/>
        <item x="7"/>
        <item x="46"/>
        <item x="49"/>
        <item m="1" x="108"/>
        <item x="31"/>
        <item x="58"/>
        <item x="62"/>
        <item x="63"/>
        <item x="65"/>
        <item x="67"/>
        <item x="26"/>
        <item x="27"/>
        <item x="35"/>
        <item x="50"/>
        <item x="51"/>
        <item x="77"/>
        <item x="78"/>
        <item x="79"/>
        <item x="80"/>
        <item x="81"/>
        <item x="83"/>
        <item x="84"/>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4">
        <item x="3"/>
        <item x="0"/>
        <item x="2"/>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
        <item x="1"/>
        <item x="0"/>
      </items>
    </pivotField>
  </pivotFields>
  <rowFields count="5">
    <field x="24"/>
    <field x="3"/>
    <field x="2"/>
    <field x="8"/>
    <field x="7"/>
  </rowFields>
  <rowItems count="27">
    <i>
      <x/>
      <x/>
      <x v="31"/>
      <x v="46"/>
      <x v="46"/>
    </i>
    <i r="2">
      <x v="34"/>
      <x v="70"/>
      <x v="70"/>
    </i>
    <i r="2">
      <x v="38"/>
      <x v="135"/>
      <x v="133"/>
    </i>
    <i r="2">
      <x v="40"/>
      <x v="46"/>
      <x v="46"/>
    </i>
    <i r="1">
      <x v="1"/>
      <x v="14"/>
      <x v="70"/>
      <x v="70"/>
    </i>
    <i r="2">
      <x v="51"/>
      <x v="46"/>
      <x v="46"/>
    </i>
    <i r="3">
      <x v="135"/>
      <x v="133"/>
    </i>
    <i r="3">
      <x v="176"/>
      <x v="172"/>
    </i>
    <i r="3">
      <x v="177"/>
      <x v="173"/>
    </i>
    <i r="3">
      <x v="180"/>
      <x v="176"/>
    </i>
    <i r="1">
      <x v="2"/>
      <x v="13"/>
      <x v="70"/>
      <x v="70"/>
    </i>
    <i r="2">
      <x v="21"/>
      <x v="70"/>
      <x v="70"/>
    </i>
    <i r="1">
      <x v="3"/>
      <x v="43"/>
      <x v="88"/>
      <x v="88"/>
    </i>
    <i r="1">
      <x v="4"/>
      <x v="1"/>
      <x v="17"/>
      <x v="17"/>
    </i>
    <i r="1">
      <x v="5"/>
      <x v="13"/>
      <x v="46"/>
      <x v="46"/>
    </i>
    <i r="1">
      <x v="6"/>
      <x v="50"/>
      <x v="70"/>
      <x v="70"/>
    </i>
    <i r="1">
      <x v="7"/>
      <x v="35"/>
      <x v="70"/>
      <x v="70"/>
    </i>
    <i r="1">
      <x v="8"/>
      <x v="8"/>
      <x v="46"/>
      <x v="46"/>
    </i>
    <i r="1">
      <x v="10"/>
      <x v="8"/>
      <x v="184"/>
      <x v="180"/>
    </i>
    <i r="3">
      <x v="185"/>
      <x v="181"/>
    </i>
    <i r="1">
      <x v="11"/>
      <x v="29"/>
      <x v="46"/>
      <x v="46"/>
    </i>
    <i r="1">
      <x v="12"/>
      <x v="1"/>
      <x v="17"/>
      <x v="17"/>
    </i>
    <i r="3">
      <x v="70"/>
      <x v="70"/>
    </i>
    <i r="1">
      <x v="14"/>
      <x v="13"/>
      <x v="70"/>
      <x v="70"/>
    </i>
    <i r="1">
      <x v="15"/>
      <x v="13"/>
      <x v="46"/>
      <x v="46"/>
    </i>
    <i r="2">
      <x v="31"/>
      <x v="46"/>
      <x v="46"/>
    </i>
    <i t="grand">
      <x/>
    </i>
  </rowItems>
  <colItems count="1">
    <i/>
  </colItems>
  <pageFields count="1">
    <pageField fld="18" item="0" hier="-1"/>
  </pageFields>
  <dataFields count="1">
    <dataField name="Sum of Količina" fld="9" baseField="0" baseItem="0"/>
  </dataFields>
  <formats count="35">
    <format dxfId="89">
      <pivotArea type="all" dataOnly="0" outline="0" fieldPosition="0"/>
    </format>
    <format dxfId="88">
      <pivotArea outline="0" collapsedLevelsAreSubtotals="1" fieldPosition="0"/>
    </format>
    <format dxfId="87">
      <pivotArea field="3" type="button" dataOnly="0" labelOnly="1" outline="0" axis="axisRow" fieldPosition="1"/>
    </format>
    <format dxfId="86">
      <pivotArea field="2" type="button" dataOnly="0" labelOnly="1" outline="0" axis="axisRow" fieldPosition="2"/>
    </format>
    <format dxfId="85">
      <pivotArea field="8" type="button" dataOnly="0" labelOnly="1" outline="0" axis="axisRow" fieldPosition="3"/>
    </format>
    <format dxfId="84">
      <pivotArea field="7" type="button" dataOnly="0" labelOnly="1" outline="0" axis="axisRow" fieldPosition="4"/>
    </format>
    <format dxfId="83">
      <pivotArea dataOnly="0" labelOnly="1" outline="0" fieldPosition="0">
        <references count="1">
          <reference field="3" count="0"/>
        </references>
      </pivotArea>
    </format>
    <format dxfId="82">
      <pivotArea dataOnly="0" labelOnly="1" grandRow="1" outline="0" fieldPosition="0"/>
    </format>
    <format dxfId="81">
      <pivotArea dataOnly="0" labelOnly="1" outline="0" axis="axisValues" fieldPosition="0"/>
    </format>
    <format dxfId="80">
      <pivotArea field="3" type="button" dataOnly="0" labelOnly="1" outline="0" axis="axisRow" fieldPosition="1"/>
    </format>
    <format dxfId="79">
      <pivotArea field="2" type="button" dataOnly="0" labelOnly="1" outline="0" axis="axisRow" fieldPosition="2"/>
    </format>
    <format dxfId="78">
      <pivotArea field="8" type="button" dataOnly="0" labelOnly="1" outline="0" axis="axisRow" fieldPosition="3"/>
    </format>
    <format dxfId="77">
      <pivotArea field="7" type="button" dataOnly="0" labelOnly="1" outline="0" axis="axisRow" fieldPosition="4"/>
    </format>
    <format dxfId="76">
      <pivotArea field="3" type="button" dataOnly="0" labelOnly="1" outline="0" axis="axisRow" fieldPosition="1"/>
    </format>
    <format dxfId="75">
      <pivotArea field="2" type="button" dataOnly="0" labelOnly="1" outline="0" axis="axisRow" fieldPosition="2"/>
    </format>
    <format dxfId="74">
      <pivotArea field="8" type="button" dataOnly="0" labelOnly="1" outline="0" axis="axisRow" fieldPosition="3"/>
    </format>
    <format dxfId="73">
      <pivotArea field="7" type="button" dataOnly="0" labelOnly="1" outline="0" axis="axisRow" fieldPosition="4"/>
    </format>
    <format dxfId="72">
      <pivotArea field="3" type="button" dataOnly="0" labelOnly="1" outline="0" axis="axisRow" fieldPosition="1"/>
    </format>
    <format dxfId="71">
      <pivotArea field="2" type="button" dataOnly="0" labelOnly="1" outline="0" axis="axisRow" fieldPosition="2"/>
    </format>
    <format dxfId="70">
      <pivotArea field="8" type="button" dataOnly="0" labelOnly="1" outline="0" axis="axisRow" fieldPosition="3"/>
    </format>
    <format dxfId="69">
      <pivotArea field="7" type="button" dataOnly="0" labelOnly="1" outline="0" axis="axisRow" fieldPosition="4"/>
    </format>
    <format dxfId="68">
      <pivotArea dataOnly="0" labelOnly="1" outline="0" axis="axisValues" fieldPosition="0"/>
    </format>
    <format dxfId="67">
      <pivotArea outline="0" collapsedLevelsAreSubtotals="1" fieldPosition="0"/>
    </format>
    <format dxfId="66">
      <pivotArea dataOnly="0" labelOnly="1" outline="0" axis="axisValues"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3" type="button" dataOnly="0" labelOnly="1" outline="0" axis="axisRow" fieldPosition="1"/>
    </format>
    <format dxfId="60">
      <pivotArea field="2" type="button" dataOnly="0" labelOnly="1" outline="0" axis="axisRow" fieldPosition="2"/>
    </format>
    <format dxfId="59">
      <pivotArea field="8" type="button" dataOnly="0" labelOnly="1" outline="0" axis="axisRow" fieldPosition="3"/>
    </format>
    <format dxfId="58">
      <pivotArea field="7" type="button" dataOnly="0" labelOnly="1" outline="0" axis="axisRow" fieldPosition="4"/>
    </format>
    <format dxfId="57">
      <pivotArea dataOnly="0" labelOnly="1" outline="0" fieldPosition="0">
        <references count="1">
          <reference field="3" count="0"/>
        </references>
      </pivotArea>
    </format>
    <format dxfId="56">
      <pivotArea dataOnly="0" labelOnly="1" grandRow="1" outline="0" fieldPosition="0"/>
    </format>
    <format dxfId="5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FE45FE-2E08-4F1A-875E-924B9261EE8F}"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6:P38" firstHeaderRow="1" firstDataRow="1" firstDataCol="5" rowPageCount="1" colPageCount="1"/>
  <pivotFields count="25">
    <pivotField compact="0" outline="0" subtotalTop="0" showAll="0" defaultSubtotal="0"/>
    <pivotField compact="0" outline="0" subtotalTop="0" showAll="0" defaultSubtotal="0"/>
    <pivotField axis="axisRow" compact="0" outline="0" showAll="0" defaultSubtotal="0">
      <items count="52">
        <item m="1" x="51"/>
        <item x="9"/>
        <item m="1" x="31"/>
        <item m="1" x="25"/>
        <item m="1" x="49"/>
        <item x="20"/>
        <item m="1" x="50"/>
        <item m="1" x="24"/>
        <item x="13"/>
        <item x="7"/>
        <item m="1" x="29"/>
        <item m="1" x="48"/>
        <item m="1" x="37"/>
        <item x="0"/>
        <item x="18"/>
        <item m="1" x="45"/>
        <item m="1" x="46"/>
        <item m="1" x="34"/>
        <item x="2"/>
        <item m="1" x="47"/>
        <item m="1" x="41"/>
        <item x="10"/>
        <item m="1" x="36"/>
        <item m="1" x="38"/>
        <item m="1" x="42"/>
        <item m="1" x="43"/>
        <item m="1" x="23"/>
        <item m="1" x="44"/>
        <item m="1" x="40"/>
        <item x="17"/>
        <item m="1" x="39"/>
        <item x="6"/>
        <item m="1" x="35"/>
        <item m="1" x="33"/>
        <item x="5"/>
        <item x="16"/>
        <item m="1" x="32"/>
        <item m="1" x="28"/>
        <item x="4"/>
        <item m="1" x="22"/>
        <item x="8"/>
        <item x="21"/>
        <item m="1" x="30"/>
        <item x="15"/>
        <item m="1" x="26"/>
        <item m="1" x="27"/>
        <item x="1"/>
        <item x="3"/>
        <item x="11"/>
        <item x="12"/>
        <item x="14"/>
        <item x="19"/>
      </items>
    </pivotField>
    <pivotField axis="axisRow" compact="0" numFmtId="14" outline="0" showAll="0" defaultSubtotal="0">
      <items count="16">
        <item x="1"/>
        <item x="9"/>
        <item x="3"/>
        <item x="6"/>
        <item x="10"/>
        <item x="0"/>
        <item x="5"/>
        <item x="7"/>
        <item x="11"/>
        <item x="2"/>
        <item x="4"/>
        <item x="8"/>
        <item x="12"/>
        <item x="13"/>
        <item x="14"/>
        <item x="15"/>
      </items>
    </pivotField>
    <pivotField compact="0" outline="0" showAll="0" defaultSubtotal="0"/>
    <pivotField compact="0" outline="0" subtotalTop="0" showAll="0" defaultSubtotal="0"/>
    <pivotField compact="0" numFmtId="14" outline="0" subtotalTop="0" showAll="0" defaultSubtotal="0"/>
    <pivotField axis="axisRow" compact="0" outline="0" showAll="0" defaultSubtotal="0">
      <items count="189">
        <item x="28"/>
        <item m="1" x="108"/>
        <item m="1" x="175"/>
        <item m="1" x="173"/>
        <item m="1" x="187"/>
        <item m="1" x="188"/>
        <item m="1" x="186"/>
        <item x="68"/>
        <item x="23"/>
        <item m="1" x="185"/>
        <item x="75"/>
        <item m="1" x="184"/>
        <item m="1" x="158"/>
        <item m="1" x="174"/>
        <item x="30"/>
        <item x="16"/>
        <item x="21"/>
        <item x="72"/>
        <item m="1" x="129"/>
        <item x="71"/>
        <item m="1" x="112"/>
        <item x="8"/>
        <item m="1" x="87"/>
        <item m="1" x="95"/>
        <item x="47"/>
        <item m="1" x="133"/>
        <item m="1" x="182"/>
        <item m="1" x="93"/>
        <item m="1" x="104"/>
        <item m="1" x="151"/>
        <item x="22"/>
        <item m="1" x="183"/>
        <item x="55"/>
        <item m="1" x="110"/>
        <item x="1"/>
        <item m="1" x="103"/>
        <item m="1" x="181"/>
        <item m="1" x="176"/>
        <item x="58"/>
        <item m="1" x="177"/>
        <item m="1" x="178"/>
        <item m="1" x="179"/>
        <item m="1" x="180"/>
        <item m="1" x="166"/>
        <item x="56"/>
        <item m="1" x="167"/>
        <item x="3"/>
        <item x="74"/>
        <item x="14"/>
        <item m="1" x="131"/>
        <item m="1" x="168"/>
        <item m="1" x="169"/>
        <item m="1" x="170"/>
        <item m="1" x="171"/>
        <item m="1" x="96"/>
        <item x="59"/>
        <item m="1" x="105"/>
        <item x="42"/>
        <item x="33"/>
        <item m="1" x="172"/>
        <item x="4"/>
        <item x="43"/>
        <item m="1" x="90"/>
        <item x="60"/>
        <item x="9"/>
        <item x="81"/>
        <item x="44"/>
        <item x="45"/>
        <item x="11"/>
        <item m="1" x="85"/>
        <item x="15"/>
        <item x="29"/>
        <item x="39"/>
        <item x="6"/>
        <item x="40"/>
        <item m="1" x="155"/>
        <item m="1" x="88"/>
        <item m="1" x="156"/>
        <item x="53"/>
        <item x="17"/>
        <item m="1" x="157"/>
        <item m="1" x="118"/>
        <item x="37"/>
        <item m="1" x="159"/>
        <item m="1" x="160"/>
        <item m="1" x="136"/>
        <item x="54"/>
        <item m="1" x="140"/>
        <item x="52"/>
        <item x="10"/>
        <item m="1" x="161"/>
        <item m="1" x="137"/>
        <item m="1" x="142"/>
        <item m="1" x="162"/>
        <item m="1" x="163"/>
        <item m="1" x="164"/>
        <item m="1" x="152"/>
        <item m="1" x="153"/>
        <item m="1" x="154"/>
        <item m="1" x="120"/>
        <item x="67"/>
        <item m="1" x="165"/>
        <item m="1" x="150"/>
        <item m="1" x="143"/>
        <item m="1" x="144"/>
        <item m="1" x="145"/>
        <item m="1" x="146"/>
        <item m="1" x="91"/>
        <item m="1" x="147"/>
        <item m="1" x="148"/>
        <item m="1" x="141"/>
        <item m="1" x="121"/>
        <item m="1" x="122"/>
        <item m="1" x="123"/>
        <item m="1" x="124"/>
        <item m="1" x="100"/>
        <item m="1" x="119"/>
        <item m="1" x="149"/>
        <item x="32"/>
        <item m="1" x="127"/>
        <item m="1" x="138"/>
        <item m="1" x="113"/>
        <item x="2"/>
        <item x="24"/>
        <item x="70"/>
        <item x="18"/>
        <item x="19"/>
        <item x="20"/>
        <item m="1" x="117"/>
        <item m="1" x="114"/>
        <item m="1" x="115"/>
        <item m="1" x="139"/>
        <item m="1" x="116"/>
        <item x="12"/>
        <item x="13"/>
        <item m="1" x="128"/>
        <item m="1" x="84"/>
        <item m="1" x="98"/>
        <item m="1" x="126"/>
        <item x="69"/>
        <item m="1" x="86"/>
        <item m="1" x="89"/>
        <item m="1" x="92"/>
        <item m="1" x="94"/>
        <item x="48"/>
        <item m="1" x="97"/>
        <item x="0"/>
        <item x="73"/>
        <item m="1" x="130"/>
        <item m="1" x="132"/>
        <item x="36"/>
        <item m="1" x="134"/>
        <item m="1" x="135"/>
        <item x="25"/>
        <item m="1" x="125"/>
        <item m="1" x="109"/>
        <item x="63"/>
        <item x="41"/>
        <item x="34"/>
        <item x="38"/>
        <item m="1" x="111"/>
        <item x="65"/>
        <item m="1" x="99"/>
        <item m="1" x="101"/>
        <item m="1" x="102"/>
        <item m="1" x="106"/>
        <item x="5"/>
        <item x="7"/>
        <item x="46"/>
        <item x="49"/>
        <item m="1" x="107"/>
        <item x="31"/>
        <item x="57"/>
        <item x="61"/>
        <item x="62"/>
        <item x="64"/>
        <item x="66"/>
        <item x="26"/>
        <item x="27"/>
        <item x="35"/>
        <item x="50"/>
        <item x="51"/>
        <item x="76"/>
        <item x="77"/>
        <item x="78"/>
        <item x="79"/>
        <item x="80"/>
        <item x="82"/>
        <item x="83"/>
      </items>
    </pivotField>
    <pivotField axis="axisRow" compact="0" outline="0" showAll="0" defaultSubtotal="0">
      <items count="193">
        <item m="1" x="177"/>
        <item m="1" x="190"/>
        <item x="69"/>
        <item m="1" x="189"/>
        <item m="1" x="179"/>
        <item m="1" x="191"/>
        <item m="1" x="109"/>
        <item x="23"/>
        <item x="28"/>
        <item m="1" x="192"/>
        <item x="76"/>
        <item m="1" x="188"/>
        <item m="1" x="161"/>
        <item m="1" x="178"/>
        <item x="30"/>
        <item x="16"/>
        <item x="21"/>
        <item x="73"/>
        <item m="1" x="130"/>
        <item x="72"/>
        <item m="1" x="113"/>
        <item x="8"/>
        <item m="1" x="88"/>
        <item m="1" x="96"/>
        <item x="47"/>
        <item m="1" x="134"/>
        <item m="1" x="186"/>
        <item m="1" x="94"/>
        <item m="1" x="105"/>
        <item m="1" x="154"/>
        <item x="22"/>
        <item m="1" x="187"/>
        <item x="55"/>
        <item m="1" x="111"/>
        <item x="1"/>
        <item m="1" x="104"/>
        <item m="1" x="185"/>
        <item m="1" x="180"/>
        <item x="59"/>
        <item m="1" x="181"/>
        <item m="1" x="182"/>
        <item m="1" x="183"/>
        <item m="1" x="184"/>
        <item m="1" x="170"/>
        <item m="1" x="162"/>
        <item m="1" x="171"/>
        <item x="3"/>
        <item x="75"/>
        <item x="14"/>
        <item m="1" x="132"/>
        <item m="1" x="172"/>
        <item m="1" x="173"/>
        <item m="1" x="174"/>
        <item m="1" x="175"/>
        <item m="1" x="97"/>
        <item x="60"/>
        <item m="1" x="106"/>
        <item x="42"/>
        <item x="33"/>
        <item m="1" x="176"/>
        <item x="4"/>
        <item x="43"/>
        <item m="1" x="91"/>
        <item x="61"/>
        <item x="9"/>
        <item x="82"/>
        <item x="44"/>
        <item x="45"/>
        <item x="11"/>
        <item m="1" x="86"/>
        <item x="15"/>
        <item x="29"/>
        <item x="39"/>
        <item x="6"/>
        <item x="40"/>
        <item m="1" x="158"/>
        <item m="1" x="89"/>
        <item m="1" x="159"/>
        <item x="53"/>
        <item x="17"/>
        <item m="1" x="160"/>
        <item m="1" x="119"/>
        <item x="37"/>
        <item m="1" x="163"/>
        <item m="1" x="164"/>
        <item m="1" x="137"/>
        <item x="54"/>
        <item m="1" x="143"/>
        <item x="52"/>
        <item x="10"/>
        <item m="1" x="165"/>
        <item m="1" x="138"/>
        <item m="1" x="145"/>
        <item m="1" x="166"/>
        <item m="1" x="167"/>
        <item m="1" x="168"/>
        <item m="1" x="155"/>
        <item m="1" x="156"/>
        <item m="1" x="157"/>
        <item m="1" x="121"/>
        <item m="1" x="139"/>
        <item x="68"/>
        <item m="1" x="169"/>
        <item m="1" x="153"/>
        <item m="1" x="146"/>
        <item m="1" x="147"/>
        <item m="1" x="148"/>
        <item m="1" x="149"/>
        <item m="1" x="92"/>
        <item m="1" x="150"/>
        <item m="1" x="151"/>
        <item m="1" x="144"/>
        <item m="1" x="122"/>
        <item m="1" x="123"/>
        <item m="1" x="124"/>
        <item m="1" x="125"/>
        <item m="1" x="101"/>
        <item m="1" x="120"/>
        <item m="1" x="152"/>
        <item x="32"/>
        <item m="1" x="128"/>
        <item m="1" x="140"/>
        <item m="1" x="114"/>
        <item x="2"/>
        <item x="24"/>
        <item x="71"/>
        <item x="18"/>
        <item x="19"/>
        <item x="20"/>
        <item m="1" x="118"/>
        <item m="1" x="142"/>
        <item m="1" x="115"/>
        <item m="1" x="116"/>
        <item m="1" x="141"/>
        <item m="1" x="117"/>
        <item x="12"/>
        <item x="13"/>
        <item m="1" x="129"/>
        <item m="1" x="85"/>
        <item m="1" x="99"/>
        <item m="1" x="127"/>
        <item x="70"/>
        <item m="1" x="87"/>
        <item m="1" x="90"/>
        <item m="1" x="93"/>
        <item m="1" x="95"/>
        <item x="48"/>
        <item m="1" x="98"/>
        <item x="0"/>
        <item x="74"/>
        <item m="1" x="131"/>
        <item m="1" x="133"/>
        <item x="36"/>
        <item m="1" x="135"/>
        <item m="1" x="136"/>
        <item x="25"/>
        <item m="1" x="126"/>
        <item m="1" x="110"/>
        <item x="64"/>
        <item x="41"/>
        <item x="34"/>
        <item x="38"/>
        <item x="56"/>
        <item x="57"/>
        <item m="1" x="112"/>
        <item x="66"/>
        <item m="1" x="100"/>
        <item m="1" x="102"/>
        <item m="1" x="103"/>
        <item m="1" x="107"/>
        <item x="5"/>
        <item x="7"/>
        <item x="46"/>
        <item x="49"/>
        <item m="1" x="108"/>
        <item x="31"/>
        <item x="58"/>
        <item x="62"/>
        <item x="63"/>
        <item x="65"/>
        <item x="67"/>
        <item x="26"/>
        <item x="27"/>
        <item x="35"/>
        <item x="50"/>
        <item x="51"/>
        <item x="77"/>
        <item x="78"/>
        <item x="79"/>
        <item x="80"/>
        <item x="81"/>
        <item x="83"/>
        <item x="84"/>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4">
        <item x="3"/>
        <item x="0"/>
        <item x="2"/>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
        <item x="1"/>
        <item x="0"/>
      </items>
    </pivotField>
  </pivotFields>
  <rowFields count="5">
    <field x="24"/>
    <field x="3"/>
    <field x="2"/>
    <field x="8"/>
    <field x="7"/>
  </rowFields>
  <rowItems count="32">
    <i>
      <x/>
      <x/>
      <x v="9"/>
      <x v="14"/>
      <x v="14"/>
    </i>
    <i r="3">
      <x v="71"/>
      <x v="71"/>
    </i>
    <i r="3">
      <x v="175"/>
      <x v="171"/>
    </i>
    <i r="2">
      <x v="31"/>
      <x v="8"/>
      <x/>
    </i>
    <i r="2">
      <x v="34"/>
      <x v="15"/>
      <x v="15"/>
    </i>
    <i r="3">
      <x v="16"/>
      <x v="16"/>
    </i>
    <i r="2">
      <x v="40"/>
      <x v="58"/>
      <x v="58"/>
    </i>
    <i r="2">
      <x v="46"/>
      <x v="21"/>
      <x v="21"/>
    </i>
    <i r="3">
      <x v="73"/>
      <x v="73"/>
    </i>
    <i r="3">
      <x v="170"/>
      <x v="166"/>
    </i>
    <i r="1">
      <x v="1"/>
      <x v="14"/>
      <x v="163"/>
      <x v="44"/>
    </i>
    <i r="2">
      <x v="51"/>
      <x v="101"/>
      <x v="100"/>
    </i>
    <i r="3">
      <x v="178"/>
      <x v="174"/>
    </i>
    <i r="3">
      <x v="179"/>
      <x v="175"/>
    </i>
    <i r="1">
      <x v="2"/>
      <x v="1"/>
      <x v="24"/>
      <x v="24"/>
    </i>
    <i r="3">
      <x v="74"/>
      <x v="74"/>
    </i>
    <i r="3">
      <x v="146"/>
      <x v="144"/>
    </i>
    <i r="3">
      <x v="159"/>
      <x v="157"/>
    </i>
    <i r="2">
      <x v="21"/>
      <x v="82"/>
      <x v="82"/>
    </i>
    <i r="1">
      <x v="5"/>
      <x v="13"/>
      <x v="148"/>
      <x v="146"/>
    </i>
    <i r="1">
      <x v="6"/>
      <x v="50"/>
      <x v="58"/>
      <x v="58"/>
    </i>
    <i r="3">
      <x v="82"/>
      <x v="82"/>
    </i>
    <i r="1">
      <x v="7"/>
      <x v="35"/>
      <x v="15"/>
      <x v="15"/>
    </i>
    <i r="3">
      <x v="16"/>
      <x v="16"/>
    </i>
    <i r="3">
      <x v="86"/>
      <x v="86"/>
    </i>
    <i r="1">
      <x v="9"/>
      <x v="1"/>
      <x v="183"/>
      <x v="179"/>
    </i>
    <i r="1">
      <x v="12"/>
      <x v="1"/>
      <x v="10"/>
      <x v="10"/>
    </i>
    <i r="1">
      <x v="14"/>
      <x v="13"/>
      <x v="65"/>
      <x v="65"/>
    </i>
    <i r="3">
      <x v="71"/>
      <x v="71"/>
    </i>
    <i r="1">
      <x v="15"/>
      <x v="13"/>
      <x v="101"/>
      <x v="100"/>
    </i>
    <i r="3">
      <x v="148"/>
      <x v="146"/>
    </i>
    <i t="grand">
      <x/>
    </i>
  </rowItems>
  <colItems count="1">
    <i/>
  </colItems>
  <pageFields count="1">
    <pageField fld="18" item="1" hier="-1"/>
  </pageFields>
  <dataFields count="1">
    <dataField name="Sum of Količina" fld="9" baseField="0" baseItem="0"/>
  </dataFields>
  <formats count="43">
    <format dxfId="132">
      <pivotArea type="all" dataOnly="0" outline="0" fieldPosition="0"/>
    </format>
    <format dxfId="131">
      <pivotArea outline="0" collapsedLevelsAreSubtotals="1" fieldPosition="0"/>
    </format>
    <format dxfId="130">
      <pivotArea field="3" type="button" dataOnly="0" labelOnly="1" outline="0" axis="axisRow" fieldPosition="1"/>
    </format>
    <format dxfId="129">
      <pivotArea field="2" type="button" dataOnly="0" labelOnly="1" outline="0" axis="axisRow" fieldPosition="2"/>
    </format>
    <format dxfId="128">
      <pivotArea field="8" type="button" dataOnly="0" labelOnly="1" outline="0" axis="axisRow" fieldPosition="3"/>
    </format>
    <format dxfId="127">
      <pivotArea field="7" type="button" dataOnly="0" labelOnly="1" outline="0" axis="axisRow" fieldPosition="4"/>
    </format>
    <format dxfId="126">
      <pivotArea dataOnly="0" labelOnly="1" grandRow="1" outline="0" fieldPosition="0"/>
    </format>
    <format dxfId="125">
      <pivotArea dataOnly="0" labelOnly="1" outline="0" axis="axisValues" fieldPosition="0"/>
    </format>
    <format dxfId="124">
      <pivotArea field="3" type="button" dataOnly="0" labelOnly="1" outline="0" axis="axisRow" fieldPosition="1"/>
    </format>
    <format dxfId="123">
      <pivotArea field="2" type="button" dataOnly="0" labelOnly="1" outline="0" axis="axisRow" fieldPosition="2"/>
    </format>
    <format dxfId="122">
      <pivotArea field="8" type="button" dataOnly="0" labelOnly="1" outline="0" axis="axisRow" fieldPosition="3"/>
    </format>
    <format dxfId="121">
      <pivotArea field="7" type="button" dataOnly="0" labelOnly="1" outline="0" axis="axisRow" fieldPosition="4"/>
    </format>
    <format dxfId="120">
      <pivotArea dataOnly="0" labelOnly="1" outline="0" axis="axisValues" fieldPosition="0"/>
    </format>
    <format dxfId="119">
      <pivotArea field="18" type="button" dataOnly="0" labelOnly="1" outline="0" axis="axisPage" fieldPosition="0"/>
    </format>
    <format dxfId="118">
      <pivotArea field="3" type="button" dataOnly="0" labelOnly="1" outline="0" axis="axisRow" fieldPosition="1"/>
    </format>
    <format dxfId="117">
      <pivotArea dataOnly="0" labelOnly="1" grandRow="1" outline="0" fieldPosition="0"/>
    </format>
    <format dxfId="116">
      <pivotArea field="3" type="button" dataOnly="0" labelOnly="1" outline="0" axis="axisRow" fieldPosition="1"/>
    </format>
    <format dxfId="115">
      <pivotArea field="2" type="button" dataOnly="0" labelOnly="1" outline="0" axis="axisRow" fieldPosition="2"/>
    </format>
    <format dxfId="114">
      <pivotArea field="8" type="button" dataOnly="0" labelOnly="1" outline="0" axis="axisRow" fieldPosition="3"/>
    </format>
    <format dxfId="113">
      <pivotArea field="7" type="button" dataOnly="0" labelOnly="1" outline="0" axis="axisRow" fieldPosition="4"/>
    </format>
    <format dxfId="112">
      <pivotArea dataOnly="0" labelOnly="1" outline="0" axis="axisValues" fieldPosition="0"/>
    </format>
    <format dxfId="111">
      <pivotArea field="3" type="button" dataOnly="0" labelOnly="1" outline="0" axis="axisRow" fieldPosition="1"/>
    </format>
    <format dxfId="110">
      <pivotArea field="2" type="button" dataOnly="0" labelOnly="1" outline="0" axis="axisRow" fieldPosition="2"/>
    </format>
    <format dxfId="109">
      <pivotArea field="8" type="button" dataOnly="0" labelOnly="1" outline="0" axis="axisRow" fieldPosition="3"/>
    </format>
    <format dxfId="108">
      <pivotArea field="7" type="button" dataOnly="0" labelOnly="1" outline="0" axis="axisRow" fieldPosition="4"/>
    </format>
    <format dxfId="107">
      <pivotArea dataOnly="0" labelOnly="1" outline="0" axis="axisValues" fieldPosition="0"/>
    </format>
    <format dxfId="106">
      <pivotArea field="3" type="button" dataOnly="0" labelOnly="1" outline="0" axis="axisRow" fieldPosition="1"/>
    </format>
    <format dxfId="105">
      <pivotArea field="2" type="button" dataOnly="0" labelOnly="1" outline="0" axis="axisRow" fieldPosition="2"/>
    </format>
    <format dxfId="104">
      <pivotArea field="8" type="button" dataOnly="0" labelOnly="1" outline="0" axis="axisRow" fieldPosition="3"/>
    </format>
    <format dxfId="103">
      <pivotArea field="7" type="button" dataOnly="0" labelOnly="1" outline="0" axis="axisRow" fieldPosition="4"/>
    </format>
    <format dxfId="102">
      <pivotArea dataOnly="0" labelOnly="1" outline="0" axis="axisValues" fieldPosition="0"/>
    </format>
    <format dxfId="101">
      <pivotArea outline="0" collapsedLevelsAreSubtotals="1" fieldPosition="0"/>
    </format>
    <format dxfId="100">
      <pivotArea dataOnly="0" labelOnly="1" outline="0" axis="axisValues"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3" type="button" dataOnly="0" labelOnly="1" outline="0" axis="axisRow" fieldPosition="1"/>
    </format>
    <format dxfId="94">
      <pivotArea field="2" type="button" dataOnly="0" labelOnly="1" outline="0" axis="axisRow" fieldPosition="2"/>
    </format>
    <format dxfId="93">
      <pivotArea field="8" type="button" dataOnly="0" labelOnly="1" outline="0" axis="axisRow" fieldPosition="3"/>
    </format>
    <format dxfId="92">
      <pivotArea field="7" type="button" dataOnly="0" labelOnly="1" outline="0" axis="axisRow" fieldPosition="4"/>
    </format>
    <format dxfId="91">
      <pivotArea dataOnly="0" labelOnly="1" grandRow="1" outline="0" fieldPosition="0"/>
    </format>
    <format dxfId="90">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871839-53B2-4688-BE42-1DE02F2EBF82}" autoFormatId="16" applyNumberFormats="0" applyBorderFormats="0" applyFontFormats="0" applyPatternFormats="0" applyAlignmentFormats="0" applyWidthHeightFormats="0">
  <queryTableRefresh nextId="47">
    <queryTableFields count="24">
      <queryTableField id="33" name="Številka" tableColumnId="13"/>
      <queryTableField id="35" name="Lokacija" tableColumnId="14"/>
      <queryTableField id="1" name="Naziv partnerja" tableColumnId="1"/>
      <queryTableField id="2" name="Datum odpreme" tableColumnId="2"/>
      <queryTableField id="3" name="Dan" tableColumnId="3"/>
      <queryTableField id="38" name="Številka tedna" tableColumnId="16"/>
      <queryTableField id="39" name="Datum začetka tedna" tableColumnId="17"/>
      <queryTableField id="4" name="IDENT" tableColumnId="4"/>
      <queryTableField id="5" name="Kratki opis" tableColumnId="5"/>
      <queryTableField id="25" name="Količina" tableColumnId="6"/>
      <queryTableField id="7" name="EM" tableColumnId="7"/>
      <queryTableField id="21" name="Skupno količina naročila" tableColumnId="21"/>
      <queryTableField id="26" name="ZALOGA (matično skladišče)" tableColumnId="8"/>
      <queryTableField id="9" name="ZALOGA (ostalo)" tableColumnId="9"/>
      <queryTableField id="27" name="PLANIRANA KOLIČINA (DN)" tableColumnId="10"/>
      <queryTableField id="11" name="PROSTA ZALOGA" tableColumnId="11"/>
      <queryTableField id="28" name="PROSTA ZALOGA (brez naročil)" tableColumnId="12"/>
      <queryTableField id="22" name="Index" tableColumnId="22"/>
      <queryTableField id="20" name="Stauts" tableColumnId="20"/>
      <queryTableField id="37" name="Grupa polizdelkov" tableColumnId="15"/>
      <queryTableField id="43" name="Normativ montaža" tableColumnId="18"/>
      <queryTableField id="44" name="Normativ Proizvodnja" tableColumnId="19"/>
      <queryTableField id="45" name="Normativ Elektro" tableColumnId="23"/>
      <queryTableField id="46" name="Normativ Preizku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uts" xr10:uid="{5C840C6A-1D94-4900-A53F-E120D15C17A3}" sourceName="Stauts">
  <extLst>
    <x:ext xmlns:x15="http://schemas.microsoft.com/office/spreadsheetml/2010/11/main" uri="{2F2917AC-EB37-4324-AD4E-5DD8C200BD13}">
      <x15:tableSlicerCache tableId="1"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uts" xr10:uid="{E661B702-348A-45A0-BB1F-8D208763FE78}" cache="Slicer_Stauts" caption="Staut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6194F2-6DA1-4EF0-98CF-A41265103EE4}" name="Dnevni_tedenski_plan" displayName="Dnevni_tedenski_plan" ref="A1:X118" tableType="queryTable" totalsRowShown="0" headerRowDxfId="151">
  <autoFilter ref="A1:X118" xr:uid="{306194F2-6DA1-4EF0-98CF-A41265103EE4}"/>
  <sortState xmlns:xlrd2="http://schemas.microsoft.com/office/spreadsheetml/2017/richdata2" ref="A2:X118">
    <sortCondition ref="D2:D118"/>
  </sortState>
  <tableColumns count="24">
    <tableColumn id="13" xr3:uid="{FA2C06E9-BCB1-4EC2-A126-BFA21C47E023}" uniqueName="13" name="Številka" queryTableFieldId="33"/>
    <tableColumn id="14" xr3:uid="{4BE7A38D-E97F-498C-9DFB-1183F60F962B}" uniqueName="14" name="Lokacija" queryTableFieldId="35" dataDxfId="150"/>
    <tableColumn id="1" xr3:uid="{AA04E3A8-7968-4CF3-9A54-6B664EF1840E}" uniqueName="1" name="Naziv partnerja" queryTableFieldId="1"/>
    <tableColumn id="2" xr3:uid="{DFED3D23-9FAA-4C00-AF5C-F73536A13DDD}" uniqueName="2" name="Datum odpreme" queryTableFieldId="2" dataDxfId="10"/>
    <tableColumn id="3" xr3:uid="{517962C0-7D64-4DFD-B599-20696C9F38F5}" uniqueName="3" name="Dan" queryTableFieldId="3"/>
    <tableColumn id="16" xr3:uid="{7158F14B-8DF2-4066-B59B-706E4F5CCAA9}" uniqueName="16" name="Številka tedna" queryTableFieldId="38"/>
    <tableColumn id="17" xr3:uid="{B4F8F7E4-971A-4A31-9E20-786CEE31D285}" uniqueName="17" name="Datum začetka tedna" queryTableFieldId="39" dataDxfId="9"/>
    <tableColumn id="4" xr3:uid="{24CAA717-0E19-4450-A510-8006F18007AE}" uniqueName="4" name="IDENT" queryTableFieldId="4"/>
    <tableColumn id="5" xr3:uid="{44E4839E-8763-493B-A627-605B7478687E}" uniqueName="5" name="Kratki opis" queryTableFieldId="5"/>
    <tableColumn id="6" xr3:uid="{9A6069A9-5AB6-4B8E-B871-26CC94DDEAAC}" uniqueName="6" name="Količina" queryTableFieldId="25" dataDxfId="8"/>
    <tableColumn id="7" xr3:uid="{4B10029A-AA46-499E-AD2E-E0F1FCA5FDB7}" uniqueName="7" name="EM" queryTableFieldId="7"/>
    <tableColumn id="21" xr3:uid="{ECD081A6-A7FD-4FF8-917E-2D661952E467}" uniqueName="21" name="Skupno količina naročila" queryTableFieldId="21" dataDxfId="7"/>
    <tableColumn id="8" xr3:uid="{E96754E6-576B-44BC-A164-1AD861B5218D}" uniqueName="8" name="ZALOGA (matično skladišče)" queryTableFieldId="26" dataDxfId="6"/>
    <tableColumn id="9" xr3:uid="{C61446D5-DFB6-494D-9692-9AEAC6A12CBD}" uniqueName="9" name="ZALOGA (ostalo)" queryTableFieldId="9" dataDxfId="5"/>
    <tableColumn id="10" xr3:uid="{C13BC425-2195-4467-8BF5-E4608F7AFF1C}" uniqueName="10" name="PLANIRANA KOLIČINA (DN)" queryTableFieldId="27" dataDxfId="4"/>
    <tableColumn id="11" xr3:uid="{AEE36C2C-0B02-41BC-863F-570AD29845A9}" uniqueName="11" name="PROSTA ZALOGA" queryTableFieldId="11" dataDxfId="3"/>
    <tableColumn id="12" xr3:uid="{8F5D6DB0-763E-407D-8BEA-857C202AE9D0}" uniqueName="12" name="PROSTA ZALOGA (brez naročil)" queryTableFieldId="28" dataDxfId="2"/>
    <tableColumn id="22" xr3:uid="{793CE10F-1560-40C9-8207-9F2F0F0FE223}" uniqueName="22" name="Index" queryTableFieldId="22" dataDxfId="1"/>
    <tableColumn id="20" xr3:uid="{DD9B7892-A8FC-4FA4-8AD2-9A9CADACAD3F}" uniqueName="20" name="Stauts" queryTableFieldId="20" dataDxfId="0"/>
    <tableColumn id="15" xr3:uid="{1ADB04DE-A533-403E-9A7A-3013CBB9D8F6}" uniqueName="15" name="Grupa polizdelkov" queryTableFieldId="37" dataDxfId="149"/>
    <tableColumn id="18" xr3:uid="{1B8BEA10-1C53-4324-A9D2-AEAAF8303A53}" uniqueName="18" name="Normativ montaža" queryTableFieldId="43"/>
    <tableColumn id="19" xr3:uid="{9A98E607-6495-4F7E-8203-E86A04B06817}" uniqueName="19" name="Normativ Proizvodnja" queryTableFieldId="44"/>
    <tableColumn id="23" xr3:uid="{371A5CA9-E200-4D40-B4DA-7D0BFDF26E0D}" uniqueName="23" name="Normativ Elektro" queryTableFieldId="45"/>
    <tableColumn id="24" xr3:uid="{BCB49E59-C427-4162-9454-8A85FD29894B}" uniqueName="24" name="Normativ Preizkus" queryTableFieldId="46"/>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110AAB-38C7-446A-B5B6-98ABC915330F}" name="Table2" displayName="Table2" ref="H2:M6" totalsRowShown="0" headerRowCellStyle="Normal 4" dataCellStyle="Normal 4">
  <autoFilter ref="H2:M6" xr:uid="{76110AAB-38C7-446A-B5B6-98ABC915330F}"/>
  <tableColumns count="6">
    <tableColumn id="1" xr3:uid="{50D8E486-81C8-4BC3-9C72-DCA0F88DD78D}" name="Oddelek" dataCellStyle="Normal 4"/>
    <tableColumn id="2" xr3:uid="{8E951983-E318-4426-801B-63A4EE45E1BA}" name="Število ljudi" dataCellStyle="Normal 4"/>
    <tableColumn id="3" xr3:uid="{7525FC90-7B29-4A53-8611-859535E0E5D9}" name="Delovne ure" dataCellStyle="Normal 4"/>
    <tableColumn id="4" xr3:uid="{2149B9E2-0C00-48FF-A18E-F5469A5B762D}" name="Dan" dataDxfId="135" dataCellStyle="Normal 4">
      <calculatedColumnFormula>Table2[[#This Row],[Število ljudi]]*Table2[[#This Row],[Delovne ure]]</calculatedColumnFormula>
    </tableColumn>
    <tableColumn id="5" xr3:uid="{E39BC16A-65ED-4950-9B37-6D7519606912}" name="Teden" dataDxfId="134" dataCellStyle="Normal 4">
      <calculatedColumnFormula>Table2[[#This Row],[Dan]]*5</calculatedColumnFormula>
    </tableColumn>
    <tableColumn id="6" xr3:uid="{EE7B89CD-F85B-4EEC-9F20-8F1C0F7B03DA}" name="Mesec" dataDxfId="133" dataCellStyle="Normal 4">
      <calculatedColumnFormula>Table2[[#This Row],[Teden]]*4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D1BE8FB-0916-4C6E-92DA-F66EA91D6BA5}">
  <we:reference id="WA200010215" version="2.0.0.0" store="Omex" storeType="OMEX"/>
  <we:alternateReferences>
    <we:reference id="WA200010215" version="2.0.0.0" store="WA200010215" storeType="OMEX"/>
  </we:alternateReferences>
  <we:properties>
    <we:property name="bps.codex_control.document_id" value="&quot;446e3876-ce55-4ab3-bdd5-87820c26691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hyperlink" Target="."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D2287-D5C6-4B23-ABF1-4850D4970D9F}">
  <sheetPr codeName="Sheet1">
    <pageSetUpPr fitToPage="1"/>
  </sheetPr>
  <dimension ref="A1:AA118"/>
  <sheetViews>
    <sheetView tabSelected="1" topLeftCell="I1" zoomScaleNormal="100" workbookViewId="0">
      <pane ySplit="1" topLeftCell="A2" activePane="bottomLeft" state="frozen"/>
      <selection pane="bottomLeft" activeCell="L14" sqref="L14"/>
    </sheetView>
  </sheetViews>
  <sheetFormatPr defaultRowHeight="15" x14ac:dyDescent="0.25"/>
  <cols>
    <col min="1" max="1" width="12.5703125" bestFit="1" customWidth="1"/>
    <col min="2" max="2" width="38.28515625" style="2" bestFit="1" customWidth="1"/>
    <col min="3" max="3" width="42.85546875" bestFit="1" customWidth="1"/>
    <col min="4" max="4" width="20.140625" bestFit="1" customWidth="1"/>
    <col min="5" max="5" width="11.140625" bestFit="1" customWidth="1"/>
    <col min="6" max="6" width="16" style="2" bestFit="1" customWidth="1"/>
    <col min="7" max="7" width="22" bestFit="1" customWidth="1"/>
    <col min="8" max="8" width="15.42578125" style="2" bestFit="1" customWidth="1"/>
    <col min="9" max="9" width="45.42578125" style="2" bestFit="1" customWidth="1"/>
    <col min="10" max="10" width="12.5703125" style="2" bestFit="1" customWidth="1"/>
    <col min="11" max="11" width="8.42578125" style="2" bestFit="1" customWidth="1"/>
    <col min="12" max="12" width="27.28515625" style="2" bestFit="1" customWidth="1"/>
    <col min="13" max="13" width="30.85546875" style="2" bestFit="1" customWidth="1"/>
    <col min="14" max="14" width="20.28515625" style="2" bestFit="1" customWidth="1"/>
    <col min="15" max="15" width="29.85546875" style="2" bestFit="1" customWidth="1"/>
    <col min="16" max="16" width="20.42578125" style="2" bestFit="1" customWidth="1"/>
    <col min="17" max="17" width="33" style="2" bestFit="1" customWidth="1"/>
    <col min="18" max="18" width="10.5703125" style="2" bestFit="1" customWidth="1"/>
    <col min="19" max="19" width="11" style="2" bestFit="1" customWidth="1"/>
    <col min="20" max="20" width="19.7109375" style="2" bestFit="1" customWidth="1"/>
    <col min="21" max="21" width="19.85546875" style="2" bestFit="1" customWidth="1"/>
    <col min="22" max="22" width="22.7109375" style="2" bestFit="1" customWidth="1"/>
    <col min="23" max="23" width="18.42578125" style="2" bestFit="1" customWidth="1"/>
    <col min="24" max="24" width="19.7109375" style="2" customWidth="1"/>
    <col min="25" max="25" width="14.28515625" style="2" customWidth="1"/>
    <col min="26" max="26" width="14.28515625" customWidth="1"/>
    <col min="27" max="27" width="11.140625" style="2" customWidth="1"/>
    <col min="28" max="28" width="14.28515625" customWidth="1"/>
    <col min="29" max="29" width="14.85546875" bestFit="1" customWidth="1"/>
    <col min="30" max="30" width="18.85546875" bestFit="1" customWidth="1"/>
    <col min="31" max="31" width="17.42578125" bestFit="1" customWidth="1"/>
    <col min="32" max="32" width="17.28515625" bestFit="1" customWidth="1"/>
    <col min="33" max="33" width="10.5703125" bestFit="1" customWidth="1"/>
    <col min="34" max="34" width="11.7109375" bestFit="1" customWidth="1"/>
    <col min="35" max="35" width="17.7109375" bestFit="1" customWidth="1"/>
  </cols>
  <sheetData>
    <row r="1" spans="1:27" s="22" customFormat="1" x14ac:dyDescent="0.25">
      <c r="A1" s="22" t="s">
        <v>26</v>
      </c>
      <c r="B1" s="22" t="s">
        <v>33</v>
      </c>
      <c r="C1" s="22" t="s">
        <v>0</v>
      </c>
      <c r="D1" s="22" t="s">
        <v>1</v>
      </c>
      <c r="E1" s="22" t="s">
        <v>2</v>
      </c>
      <c r="F1" t="s">
        <v>49</v>
      </c>
      <c r="G1" t="s">
        <v>50</v>
      </c>
      <c r="H1" s="22" t="s">
        <v>3</v>
      </c>
      <c r="I1" s="22" t="s">
        <v>4</v>
      </c>
      <c r="J1" s="22" t="s">
        <v>15</v>
      </c>
      <c r="K1" s="22" t="s">
        <v>5</v>
      </c>
      <c r="L1" s="22" t="s">
        <v>11</v>
      </c>
      <c r="M1" s="22" t="s">
        <v>16</v>
      </c>
      <c r="N1" s="22" t="s">
        <v>6</v>
      </c>
      <c r="O1" s="22" t="s">
        <v>17</v>
      </c>
      <c r="P1" s="22" t="s">
        <v>7</v>
      </c>
      <c r="Q1" s="22" t="s">
        <v>18</v>
      </c>
      <c r="R1" s="22" t="s">
        <v>12</v>
      </c>
      <c r="S1" s="22" t="s">
        <v>10</v>
      </c>
      <c r="T1" t="s">
        <v>40</v>
      </c>
      <c r="U1" t="s">
        <v>191</v>
      </c>
      <c r="V1" t="s">
        <v>192</v>
      </c>
      <c r="W1" t="s">
        <v>193</v>
      </c>
      <c r="X1" t="s">
        <v>194</v>
      </c>
    </row>
    <row r="2" spans="1:27" x14ac:dyDescent="0.25">
      <c r="A2">
        <v>202600736</v>
      </c>
      <c r="B2"/>
      <c r="C2" t="s">
        <v>244</v>
      </c>
      <c r="D2" s="24">
        <v>46303</v>
      </c>
      <c r="E2" t="s">
        <v>51</v>
      </c>
      <c r="F2">
        <v>41</v>
      </c>
      <c r="G2" s="1">
        <v>46300</v>
      </c>
      <c r="H2" t="s">
        <v>74</v>
      </c>
      <c r="I2" t="s">
        <v>75</v>
      </c>
      <c r="J2" s="2">
        <v>1</v>
      </c>
      <c r="K2" t="s">
        <v>28</v>
      </c>
      <c r="L2" s="2">
        <v>42</v>
      </c>
      <c r="M2" s="2">
        <v>11</v>
      </c>
      <c r="N2" s="2">
        <v>6</v>
      </c>
      <c r="O2" s="2">
        <v>50</v>
      </c>
      <c r="P2" s="2">
        <v>-37</v>
      </c>
      <c r="Q2" s="2">
        <v>-37</v>
      </c>
      <c r="R2" s="2">
        <v>449</v>
      </c>
      <c r="S2" s="2" t="s">
        <v>22</v>
      </c>
      <c r="T2" t="s">
        <v>41</v>
      </c>
      <c r="U2">
        <v>0.6</v>
      </c>
      <c r="V2">
        <v>0</v>
      </c>
      <c r="W2">
        <v>0</v>
      </c>
      <c r="X2">
        <v>0</v>
      </c>
      <c r="Y2"/>
      <c r="AA2"/>
    </row>
    <row r="3" spans="1:27" x14ac:dyDescent="0.25">
      <c r="A3">
        <v>202600736</v>
      </c>
      <c r="B3"/>
      <c r="C3" t="s">
        <v>244</v>
      </c>
      <c r="D3" s="24">
        <v>46303</v>
      </c>
      <c r="E3" t="s">
        <v>51</v>
      </c>
      <c r="F3">
        <v>41</v>
      </c>
      <c r="G3" s="1">
        <v>46300</v>
      </c>
      <c r="H3" t="s">
        <v>30</v>
      </c>
      <c r="I3" t="s">
        <v>31</v>
      </c>
      <c r="J3" s="2">
        <v>1</v>
      </c>
      <c r="K3" t="s">
        <v>28</v>
      </c>
      <c r="L3" s="2">
        <v>37</v>
      </c>
      <c r="M3" s="2">
        <v>11</v>
      </c>
      <c r="N3" s="2">
        <v>12</v>
      </c>
      <c r="O3" s="2">
        <v>50</v>
      </c>
      <c r="P3" s="2">
        <v>22</v>
      </c>
      <c r="Q3" s="2">
        <v>22</v>
      </c>
      <c r="R3" s="2">
        <v>446</v>
      </c>
      <c r="S3" s="2" t="s">
        <v>29</v>
      </c>
      <c r="T3" t="s">
        <v>42</v>
      </c>
      <c r="U3">
        <v>0</v>
      </c>
      <c r="V3">
        <v>4.1400000000000006</v>
      </c>
      <c r="W3">
        <v>0.36</v>
      </c>
      <c r="X3">
        <v>0</v>
      </c>
      <c r="Y3"/>
      <c r="AA3"/>
    </row>
    <row r="4" spans="1:27" x14ac:dyDescent="0.25">
      <c r="A4">
        <v>202600736</v>
      </c>
      <c r="B4"/>
      <c r="C4" t="s">
        <v>244</v>
      </c>
      <c r="D4" s="24">
        <v>46303</v>
      </c>
      <c r="E4" t="s">
        <v>51</v>
      </c>
      <c r="F4">
        <v>41</v>
      </c>
      <c r="G4" s="1">
        <v>46300</v>
      </c>
      <c r="H4" t="s">
        <v>264</v>
      </c>
      <c r="I4" t="s">
        <v>265</v>
      </c>
      <c r="J4" s="2">
        <v>1</v>
      </c>
      <c r="K4" t="s">
        <v>28</v>
      </c>
      <c r="L4" s="2">
        <v>1</v>
      </c>
      <c r="M4" s="2">
        <v>1</v>
      </c>
      <c r="N4" s="2">
        <v>0</v>
      </c>
      <c r="O4" s="2">
        <v>4</v>
      </c>
      <c r="P4" s="2">
        <v>4</v>
      </c>
      <c r="Q4" s="2">
        <v>4</v>
      </c>
      <c r="R4" s="2">
        <v>447</v>
      </c>
      <c r="S4" s="2" t="s">
        <v>9</v>
      </c>
      <c r="T4" t="s">
        <v>47</v>
      </c>
      <c r="U4">
        <v>7.83</v>
      </c>
      <c r="V4">
        <v>4.4950000000000001</v>
      </c>
      <c r="W4">
        <v>0.87</v>
      </c>
      <c r="X4">
        <v>1.3049999999999999</v>
      </c>
      <c r="Y4"/>
      <c r="AA4"/>
    </row>
    <row r="5" spans="1:27" x14ac:dyDescent="0.25">
      <c r="A5">
        <v>202600736</v>
      </c>
      <c r="B5"/>
      <c r="C5" t="s">
        <v>244</v>
      </c>
      <c r="D5" s="24">
        <v>46303</v>
      </c>
      <c r="E5" t="s">
        <v>51</v>
      </c>
      <c r="F5">
        <v>41</v>
      </c>
      <c r="G5" s="1">
        <v>46300</v>
      </c>
      <c r="H5" t="s">
        <v>34</v>
      </c>
      <c r="I5" t="s">
        <v>35</v>
      </c>
      <c r="J5" s="2">
        <v>1</v>
      </c>
      <c r="K5" t="s">
        <v>28</v>
      </c>
      <c r="L5" s="2">
        <v>13</v>
      </c>
      <c r="M5" s="2">
        <v>11</v>
      </c>
      <c r="N5" s="2">
        <v>2</v>
      </c>
      <c r="O5" s="2">
        <v>12</v>
      </c>
      <c r="P5" s="2">
        <v>9</v>
      </c>
      <c r="Q5" s="2">
        <v>9</v>
      </c>
      <c r="R5" s="2">
        <v>448</v>
      </c>
      <c r="S5" s="2" t="s">
        <v>29</v>
      </c>
      <c r="T5" t="s">
        <v>44</v>
      </c>
      <c r="U5">
        <v>0</v>
      </c>
      <c r="V5">
        <v>4.5</v>
      </c>
      <c r="W5">
        <v>0</v>
      </c>
      <c r="X5">
        <v>0</v>
      </c>
      <c r="Y5"/>
      <c r="AA5"/>
    </row>
    <row r="6" spans="1:27" x14ac:dyDescent="0.25">
      <c r="A6">
        <v>202600727</v>
      </c>
      <c r="B6"/>
      <c r="C6" t="s">
        <v>36</v>
      </c>
      <c r="D6" s="24">
        <v>46303</v>
      </c>
      <c r="E6" t="s">
        <v>51</v>
      </c>
      <c r="F6">
        <v>41</v>
      </c>
      <c r="G6" s="1">
        <v>46300</v>
      </c>
      <c r="H6" t="s">
        <v>239</v>
      </c>
      <c r="I6" t="s">
        <v>240</v>
      </c>
      <c r="J6" s="2">
        <v>8</v>
      </c>
      <c r="K6" t="s">
        <v>28</v>
      </c>
      <c r="L6" s="2">
        <v>8</v>
      </c>
      <c r="M6" s="2">
        <v>6</v>
      </c>
      <c r="N6" s="2">
        <v>0</v>
      </c>
      <c r="O6" s="2">
        <v>0</v>
      </c>
      <c r="P6" s="2">
        <v>-2</v>
      </c>
      <c r="Q6" s="2">
        <v>-2</v>
      </c>
      <c r="R6" s="2">
        <v>435</v>
      </c>
      <c r="S6" s="2" t="s">
        <v>22</v>
      </c>
      <c r="T6" t="s">
        <v>44</v>
      </c>
      <c r="U6">
        <v>0</v>
      </c>
      <c r="V6">
        <v>0</v>
      </c>
      <c r="W6">
        <v>0</v>
      </c>
      <c r="X6">
        <v>0</v>
      </c>
      <c r="Y6"/>
      <c r="AA6"/>
    </row>
    <row r="7" spans="1:27" x14ac:dyDescent="0.25">
      <c r="A7">
        <v>202600727</v>
      </c>
      <c r="B7"/>
      <c r="C7" t="s">
        <v>36</v>
      </c>
      <c r="D7" s="24">
        <v>46303</v>
      </c>
      <c r="E7" t="s">
        <v>51</v>
      </c>
      <c r="F7">
        <v>41</v>
      </c>
      <c r="G7" s="1">
        <v>46300</v>
      </c>
      <c r="H7" t="s">
        <v>266</v>
      </c>
      <c r="I7" t="s">
        <v>267</v>
      </c>
      <c r="J7" s="2">
        <v>8</v>
      </c>
      <c r="K7" t="s">
        <v>28</v>
      </c>
      <c r="L7" s="2">
        <v>8</v>
      </c>
      <c r="M7" s="2">
        <v>0</v>
      </c>
      <c r="N7" s="2">
        <v>0</v>
      </c>
      <c r="O7" s="2">
        <v>8</v>
      </c>
      <c r="P7" s="2">
        <v>0</v>
      </c>
      <c r="Q7" s="2">
        <v>0</v>
      </c>
      <c r="R7" s="2">
        <v>434</v>
      </c>
      <c r="S7" s="2" t="s">
        <v>8</v>
      </c>
      <c r="T7" t="s">
        <v>243</v>
      </c>
      <c r="U7">
        <v>0.5</v>
      </c>
      <c r="V7">
        <v>0</v>
      </c>
      <c r="W7">
        <v>0</v>
      </c>
      <c r="X7">
        <v>0</v>
      </c>
      <c r="Y7"/>
      <c r="AA7"/>
    </row>
    <row r="8" spans="1:27" x14ac:dyDescent="0.25">
      <c r="A8">
        <v>202600697</v>
      </c>
      <c r="B8"/>
      <c r="C8" t="s">
        <v>217</v>
      </c>
      <c r="D8" s="24">
        <v>46304</v>
      </c>
      <c r="E8" t="s">
        <v>32</v>
      </c>
      <c r="F8">
        <v>41</v>
      </c>
      <c r="G8" s="1">
        <v>46300</v>
      </c>
      <c r="H8" t="s">
        <v>74</v>
      </c>
      <c r="I8" t="s">
        <v>75</v>
      </c>
      <c r="J8" s="2">
        <v>1</v>
      </c>
      <c r="K8" t="s">
        <v>28</v>
      </c>
      <c r="L8" s="2">
        <v>42</v>
      </c>
      <c r="M8" s="2">
        <v>11</v>
      </c>
      <c r="N8" s="2">
        <v>6</v>
      </c>
      <c r="O8" s="2">
        <v>50</v>
      </c>
      <c r="P8" s="2">
        <v>-37</v>
      </c>
      <c r="Q8" s="2">
        <v>-37</v>
      </c>
      <c r="R8" s="2">
        <v>306</v>
      </c>
      <c r="S8" s="2" t="s">
        <v>22</v>
      </c>
      <c r="T8" t="s">
        <v>41</v>
      </c>
      <c r="U8">
        <v>0.6</v>
      </c>
      <c r="V8">
        <v>0</v>
      </c>
      <c r="W8">
        <v>0</v>
      </c>
      <c r="X8">
        <v>0</v>
      </c>
      <c r="Y8"/>
      <c r="AA8"/>
    </row>
    <row r="9" spans="1:27" x14ac:dyDescent="0.25">
      <c r="A9">
        <v>202600697</v>
      </c>
      <c r="B9"/>
      <c r="C9" t="s">
        <v>217</v>
      </c>
      <c r="D9" s="24">
        <v>46304</v>
      </c>
      <c r="E9" t="s">
        <v>32</v>
      </c>
      <c r="F9">
        <v>41</v>
      </c>
      <c r="G9" s="1">
        <v>46300</v>
      </c>
      <c r="H9" t="s">
        <v>215</v>
      </c>
      <c r="I9" t="s">
        <v>216</v>
      </c>
      <c r="J9" s="2">
        <v>1</v>
      </c>
      <c r="K9" t="s">
        <v>28</v>
      </c>
      <c r="L9" s="2">
        <v>1</v>
      </c>
      <c r="M9" s="2">
        <v>2</v>
      </c>
      <c r="N9" s="2">
        <v>0</v>
      </c>
      <c r="O9" s="2">
        <v>0</v>
      </c>
      <c r="P9" s="2">
        <v>1</v>
      </c>
      <c r="Q9" s="2">
        <v>1</v>
      </c>
      <c r="R9" s="2">
        <v>303</v>
      </c>
      <c r="S9" s="2" t="s">
        <v>9</v>
      </c>
      <c r="T9" t="s">
        <v>42</v>
      </c>
      <c r="U9">
        <v>0</v>
      </c>
      <c r="V9">
        <v>4.1400000000000006</v>
      </c>
      <c r="W9">
        <v>0.36</v>
      </c>
      <c r="X9">
        <v>0</v>
      </c>
      <c r="Y9"/>
      <c r="AA9"/>
    </row>
    <row r="10" spans="1:27" x14ac:dyDescent="0.25">
      <c r="A10">
        <v>202600697</v>
      </c>
      <c r="B10"/>
      <c r="C10" t="s">
        <v>217</v>
      </c>
      <c r="D10" s="24">
        <v>46304</v>
      </c>
      <c r="E10" t="s">
        <v>32</v>
      </c>
      <c r="F10">
        <v>41</v>
      </c>
      <c r="G10" s="1">
        <v>46300</v>
      </c>
      <c r="H10" t="s">
        <v>124</v>
      </c>
      <c r="I10" t="s">
        <v>125</v>
      </c>
      <c r="J10" s="2">
        <v>1</v>
      </c>
      <c r="K10" t="s">
        <v>28</v>
      </c>
      <c r="L10" s="2">
        <v>1</v>
      </c>
      <c r="M10" s="2">
        <v>2</v>
      </c>
      <c r="N10" s="2">
        <v>1</v>
      </c>
      <c r="O10" s="2">
        <v>0</v>
      </c>
      <c r="P10" s="2">
        <v>1</v>
      </c>
      <c r="Q10" s="2">
        <v>1</v>
      </c>
      <c r="R10" s="2">
        <v>304</v>
      </c>
      <c r="S10" s="2" t="s">
        <v>9</v>
      </c>
      <c r="T10" t="s">
        <v>47</v>
      </c>
      <c r="U10">
        <v>7.83</v>
      </c>
      <c r="V10">
        <v>4.4950000000000001</v>
      </c>
      <c r="W10">
        <v>0.87</v>
      </c>
      <c r="X10">
        <v>1.3049999999999999</v>
      </c>
      <c r="Y10"/>
      <c r="AA10"/>
    </row>
    <row r="11" spans="1:27" x14ac:dyDescent="0.25">
      <c r="A11">
        <v>202600680</v>
      </c>
      <c r="B11"/>
      <c r="C11" t="s">
        <v>147</v>
      </c>
      <c r="D11" s="24">
        <v>46305</v>
      </c>
      <c r="E11" t="s">
        <v>181</v>
      </c>
      <c r="F11">
        <v>41</v>
      </c>
      <c r="G11" s="1">
        <v>46300</v>
      </c>
      <c r="H11" t="s">
        <v>156</v>
      </c>
      <c r="I11" t="s">
        <v>157</v>
      </c>
      <c r="J11" s="2">
        <v>1</v>
      </c>
      <c r="K11" t="s">
        <v>28</v>
      </c>
      <c r="L11" s="2">
        <v>2</v>
      </c>
      <c r="M11" s="2">
        <v>1</v>
      </c>
      <c r="N11" s="2">
        <v>0</v>
      </c>
      <c r="O11" s="2">
        <v>0</v>
      </c>
      <c r="P11" s="2">
        <v>-1</v>
      </c>
      <c r="Q11" s="2">
        <v>-1</v>
      </c>
      <c r="R11" s="2">
        <v>260</v>
      </c>
      <c r="S11" s="2" t="s">
        <v>22</v>
      </c>
      <c r="T11" t="s">
        <v>148</v>
      </c>
      <c r="U11">
        <v>4.3499999999999996</v>
      </c>
      <c r="V11">
        <v>1.05</v>
      </c>
      <c r="W11">
        <v>0.89999999999999991</v>
      </c>
      <c r="X11">
        <v>1.2750000000000001</v>
      </c>
      <c r="Y11"/>
      <c r="AA11"/>
    </row>
    <row r="12" spans="1:27" x14ac:dyDescent="0.25">
      <c r="A12">
        <v>202600712</v>
      </c>
      <c r="B12" t="s">
        <v>218</v>
      </c>
      <c r="C12" t="s">
        <v>182</v>
      </c>
      <c r="D12" s="24">
        <v>46307</v>
      </c>
      <c r="E12" t="s">
        <v>27</v>
      </c>
      <c r="F12">
        <v>42</v>
      </c>
      <c r="G12" s="1">
        <v>46307</v>
      </c>
      <c r="H12" t="s">
        <v>80</v>
      </c>
      <c r="I12" t="s">
        <v>81</v>
      </c>
      <c r="J12" s="2">
        <v>1</v>
      </c>
      <c r="K12" t="s">
        <v>28</v>
      </c>
      <c r="L12" s="2">
        <v>5</v>
      </c>
      <c r="M12" s="2">
        <v>8</v>
      </c>
      <c r="N12" s="2">
        <v>2</v>
      </c>
      <c r="O12" s="2">
        <v>0</v>
      </c>
      <c r="P12" s="2">
        <v>3</v>
      </c>
      <c r="Q12" s="2">
        <v>3</v>
      </c>
      <c r="R12" s="2">
        <v>370</v>
      </c>
      <c r="S12" s="2" t="s">
        <v>9</v>
      </c>
      <c r="T12" t="s">
        <v>42</v>
      </c>
      <c r="U12">
        <v>0</v>
      </c>
      <c r="V12">
        <v>4.1400000000000006</v>
      </c>
      <c r="W12">
        <v>0.36</v>
      </c>
      <c r="X12">
        <v>0</v>
      </c>
      <c r="Y12"/>
      <c r="AA12"/>
    </row>
    <row r="13" spans="1:27" x14ac:dyDescent="0.25">
      <c r="A13">
        <v>202600712</v>
      </c>
      <c r="B13" t="s">
        <v>218</v>
      </c>
      <c r="C13" t="s">
        <v>182</v>
      </c>
      <c r="D13" s="24">
        <v>46307</v>
      </c>
      <c r="E13" t="s">
        <v>27</v>
      </c>
      <c r="F13">
        <v>42</v>
      </c>
      <c r="G13" s="1">
        <v>46307</v>
      </c>
      <c r="H13" t="s">
        <v>85</v>
      </c>
      <c r="I13" t="s">
        <v>86</v>
      </c>
      <c r="J13" s="2">
        <v>1</v>
      </c>
      <c r="K13" t="s">
        <v>28</v>
      </c>
      <c r="L13" s="2">
        <v>1</v>
      </c>
      <c r="M13" s="2">
        <v>1</v>
      </c>
      <c r="N13" s="2">
        <v>0</v>
      </c>
      <c r="O13" s="2">
        <v>0</v>
      </c>
      <c r="P13" s="2">
        <v>0</v>
      </c>
      <c r="Q13" s="2">
        <v>0</v>
      </c>
      <c r="R13" s="2">
        <v>371</v>
      </c>
      <c r="S13" s="2" t="s">
        <v>9</v>
      </c>
      <c r="T13" t="s">
        <v>52</v>
      </c>
      <c r="U13">
        <v>4.34</v>
      </c>
      <c r="V13">
        <v>1.68</v>
      </c>
      <c r="W13">
        <v>0.42</v>
      </c>
      <c r="X13">
        <v>0.56000000000000005</v>
      </c>
      <c r="Y13"/>
      <c r="AA13"/>
    </row>
    <row r="14" spans="1:27" x14ac:dyDescent="0.25">
      <c r="A14">
        <v>202600712</v>
      </c>
      <c r="B14" t="s">
        <v>218</v>
      </c>
      <c r="C14" t="s">
        <v>182</v>
      </c>
      <c r="D14" s="24">
        <v>46307</v>
      </c>
      <c r="E14" t="s">
        <v>27</v>
      </c>
      <c r="F14">
        <v>42</v>
      </c>
      <c r="G14" s="1">
        <v>46307</v>
      </c>
      <c r="H14" t="s">
        <v>53</v>
      </c>
      <c r="I14" t="s">
        <v>54</v>
      </c>
      <c r="J14" s="2">
        <v>1</v>
      </c>
      <c r="K14" t="s">
        <v>28</v>
      </c>
      <c r="L14" s="2">
        <v>5</v>
      </c>
      <c r="M14" s="2">
        <v>5</v>
      </c>
      <c r="N14" s="2">
        <v>2</v>
      </c>
      <c r="O14" s="2">
        <v>3</v>
      </c>
      <c r="P14" s="2">
        <v>3</v>
      </c>
      <c r="Q14" s="2">
        <v>3</v>
      </c>
      <c r="R14" s="2">
        <v>372</v>
      </c>
      <c r="S14" s="2" t="s">
        <v>9</v>
      </c>
      <c r="T14" t="s">
        <v>52</v>
      </c>
      <c r="U14">
        <v>0</v>
      </c>
      <c r="V14">
        <v>4.5</v>
      </c>
      <c r="W14">
        <v>0</v>
      </c>
      <c r="X14">
        <v>0</v>
      </c>
      <c r="Y14"/>
      <c r="AA14"/>
    </row>
    <row r="15" spans="1:27" x14ac:dyDescent="0.25">
      <c r="A15">
        <v>202600705</v>
      </c>
      <c r="B15"/>
      <c r="C15" t="s">
        <v>219</v>
      </c>
      <c r="D15" s="24">
        <v>46308</v>
      </c>
      <c r="E15" t="s">
        <v>89</v>
      </c>
      <c r="F15">
        <v>42</v>
      </c>
      <c r="G15" s="1">
        <v>46307</v>
      </c>
      <c r="H15" t="s">
        <v>137</v>
      </c>
      <c r="I15" t="s">
        <v>138</v>
      </c>
      <c r="J15" s="2">
        <v>7</v>
      </c>
      <c r="K15" t="s">
        <v>28</v>
      </c>
      <c r="L15" s="2">
        <v>13</v>
      </c>
      <c r="M15" s="2">
        <v>5</v>
      </c>
      <c r="N15" s="2">
        <v>2</v>
      </c>
      <c r="O15" s="2">
        <v>14</v>
      </c>
      <c r="P15" s="2">
        <v>6</v>
      </c>
      <c r="Q15" s="2">
        <v>6</v>
      </c>
      <c r="R15" s="2">
        <v>325</v>
      </c>
      <c r="S15" s="2" t="s">
        <v>8</v>
      </c>
      <c r="T15" t="s">
        <v>41</v>
      </c>
      <c r="U15"/>
      <c r="V15"/>
      <c r="W15"/>
      <c r="X15"/>
      <c r="Y15"/>
      <c r="AA15"/>
    </row>
    <row r="16" spans="1:27" x14ac:dyDescent="0.25">
      <c r="A16">
        <v>202600705</v>
      </c>
      <c r="B16"/>
      <c r="C16" t="s">
        <v>219</v>
      </c>
      <c r="D16" s="21">
        <v>46308</v>
      </c>
      <c r="E16" t="s">
        <v>89</v>
      </c>
      <c r="F16">
        <v>42</v>
      </c>
      <c r="G16" s="1">
        <v>46307</v>
      </c>
      <c r="H16" t="s">
        <v>24</v>
      </c>
      <c r="I16" t="s">
        <v>25</v>
      </c>
      <c r="J16" s="2">
        <v>7</v>
      </c>
      <c r="K16" t="s">
        <v>28</v>
      </c>
      <c r="L16" s="2">
        <v>22</v>
      </c>
      <c r="M16" s="2">
        <v>0</v>
      </c>
      <c r="N16" s="2">
        <v>1</v>
      </c>
      <c r="O16" s="2">
        <v>21</v>
      </c>
      <c r="P16" s="2">
        <v>-1</v>
      </c>
      <c r="Q16" s="2">
        <v>-1</v>
      </c>
      <c r="R16" s="2">
        <v>323</v>
      </c>
      <c r="S16" s="2" t="s">
        <v>22</v>
      </c>
      <c r="T16" t="s">
        <v>47</v>
      </c>
      <c r="U16">
        <v>7.83</v>
      </c>
      <c r="V16">
        <v>4.4950000000000001</v>
      </c>
      <c r="W16">
        <v>0.87</v>
      </c>
      <c r="X16">
        <v>1.3049999999999999</v>
      </c>
      <c r="Y16"/>
      <c r="AA16"/>
    </row>
    <row r="17" spans="1:27" x14ac:dyDescent="0.25">
      <c r="A17">
        <v>202600705</v>
      </c>
      <c r="B17"/>
      <c r="C17" t="s">
        <v>219</v>
      </c>
      <c r="D17" s="21">
        <v>46308</v>
      </c>
      <c r="E17" t="s">
        <v>89</v>
      </c>
      <c r="F17">
        <v>42</v>
      </c>
      <c r="G17" s="1">
        <v>46307</v>
      </c>
      <c r="H17" t="s">
        <v>37</v>
      </c>
      <c r="I17" t="s">
        <v>38</v>
      </c>
      <c r="J17" s="2">
        <v>7</v>
      </c>
      <c r="K17" t="s">
        <v>28</v>
      </c>
      <c r="L17" s="2">
        <v>15</v>
      </c>
      <c r="M17" s="2">
        <v>1</v>
      </c>
      <c r="N17" s="2">
        <v>3</v>
      </c>
      <c r="O17" s="2">
        <v>17</v>
      </c>
      <c r="P17" s="2">
        <v>3</v>
      </c>
      <c r="Q17" s="2">
        <v>3</v>
      </c>
      <c r="R17" s="2">
        <v>324</v>
      </c>
      <c r="S17" s="2" t="s">
        <v>8</v>
      </c>
      <c r="T17" t="s">
        <v>43</v>
      </c>
      <c r="U17">
        <v>8.1999999999999993</v>
      </c>
      <c r="V17">
        <v>0.2</v>
      </c>
      <c r="W17">
        <v>0.8</v>
      </c>
      <c r="X17">
        <v>0.89999999999999991</v>
      </c>
      <c r="Y17"/>
      <c r="AA17"/>
    </row>
    <row r="18" spans="1:27" x14ac:dyDescent="0.25">
      <c r="A18">
        <v>202600615</v>
      </c>
      <c r="B18" t="s">
        <v>158</v>
      </c>
      <c r="C18" t="s">
        <v>182</v>
      </c>
      <c r="D18" s="21">
        <v>46310</v>
      </c>
      <c r="E18" t="s">
        <v>51</v>
      </c>
      <c r="F18">
        <v>42</v>
      </c>
      <c r="G18" s="1">
        <v>46307</v>
      </c>
      <c r="H18" t="s">
        <v>74</v>
      </c>
      <c r="I18" t="s">
        <v>75</v>
      </c>
      <c r="J18" s="2">
        <v>1</v>
      </c>
      <c r="K18" t="s">
        <v>28</v>
      </c>
      <c r="L18" s="2">
        <v>42</v>
      </c>
      <c r="M18" s="2">
        <v>11</v>
      </c>
      <c r="N18" s="2">
        <v>6</v>
      </c>
      <c r="O18" s="2">
        <v>50</v>
      </c>
      <c r="P18" s="2">
        <v>-37</v>
      </c>
      <c r="Q18" s="2">
        <v>-37</v>
      </c>
      <c r="R18" s="2">
        <v>214</v>
      </c>
      <c r="S18" s="2" t="s">
        <v>22</v>
      </c>
      <c r="T18" t="s">
        <v>41</v>
      </c>
      <c r="U18">
        <v>0.6</v>
      </c>
      <c r="V18">
        <v>0</v>
      </c>
      <c r="W18">
        <v>0</v>
      </c>
      <c r="X18">
        <v>0</v>
      </c>
      <c r="Y18"/>
      <c r="AA18"/>
    </row>
    <row r="19" spans="1:27" x14ac:dyDescent="0.25">
      <c r="A19">
        <v>202600615</v>
      </c>
      <c r="B19" t="s">
        <v>158</v>
      </c>
      <c r="C19" t="s">
        <v>182</v>
      </c>
      <c r="D19" s="21">
        <v>46310</v>
      </c>
      <c r="E19" t="s">
        <v>51</v>
      </c>
      <c r="F19">
        <v>42</v>
      </c>
      <c r="G19" s="1">
        <v>46307</v>
      </c>
      <c r="H19" t="s">
        <v>74</v>
      </c>
      <c r="I19" t="s">
        <v>75</v>
      </c>
      <c r="J19" s="2">
        <v>1</v>
      </c>
      <c r="K19" t="s">
        <v>28</v>
      </c>
      <c r="L19" s="2">
        <v>42</v>
      </c>
      <c r="M19" s="2">
        <v>11</v>
      </c>
      <c r="N19" s="2">
        <v>6</v>
      </c>
      <c r="O19" s="2">
        <v>50</v>
      </c>
      <c r="P19" s="2">
        <v>-37</v>
      </c>
      <c r="Q19" s="2">
        <v>-37</v>
      </c>
      <c r="R19" s="2">
        <v>205</v>
      </c>
      <c r="S19" s="2" t="s">
        <v>22</v>
      </c>
      <c r="T19" t="s">
        <v>41</v>
      </c>
      <c r="U19">
        <v>0.6</v>
      </c>
      <c r="V19">
        <v>0</v>
      </c>
      <c r="W19">
        <v>0</v>
      </c>
      <c r="X19">
        <v>0</v>
      </c>
      <c r="Y19"/>
      <c r="AA19"/>
    </row>
    <row r="20" spans="1:27" x14ac:dyDescent="0.25">
      <c r="A20">
        <v>202600615</v>
      </c>
      <c r="B20" t="s">
        <v>158</v>
      </c>
      <c r="C20" t="s">
        <v>182</v>
      </c>
      <c r="D20" s="21">
        <v>46310</v>
      </c>
      <c r="E20" t="s">
        <v>51</v>
      </c>
      <c r="F20">
        <v>42</v>
      </c>
      <c r="G20" s="1">
        <v>46307</v>
      </c>
      <c r="H20" t="s">
        <v>74</v>
      </c>
      <c r="I20" t="s">
        <v>75</v>
      </c>
      <c r="J20" s="2">
        <v>1</v>
      </c>
      <c r="K20" t="s">
        <v>28</v>
      </c>
      <c r="L20" s="2">
        <v>42</v>
      </c>
      <c r="M20" s="2">
        <v>11</v>
      </c>
      <c r="N20" s="2">
        <v>6</v>
      </c>
      <c r="O20" s="2">
        <v>50</v>
      </c>
      <c r="P20" s="2">
        <v>-37</v>
      </c>
      <c r="Q20" s="2">
        <v>-37</v>
      </c>
      <c r="R20" s="2">
        <v>203</v>
      </c>
      <c r="S20" s="2" t="s">
        <v>22</v>
      </c>
      <c r="T20" t="s">
        <v>41</v>
      </c>
      <c r="U20">
        <v>0.6</v>
      </c>
      <c r="V20">
        <v>0</v>
      </c>
      <c r="W20">
        <v>0</v>
      </c>
      <c r="X20">
        <v>0</v>
      </c>
      <c r="Y20"/>
      <c r="AA20"/>
    </row>
    <row r="21" spans="1:27" x14ac:dyDescent="0.25">
      <c r="A21">
        <v>202600615</v>
      </c>
      <c r="B21" t="s">
        <v>158</v>
      </c>
      <c r="C21" t="s">
        <v>182</v>
      </c>
      <c r="D21" s="21">
        <v>46310</v>
      </c>
      <c r="E21" t="s">
        <v>51</v>
      </c>
      <c r="F21">
        <v>42</v>
      </c>
      <c r="G21" s="1">
        <v>46307</v>
      </c>
      <c r="H21" t="s">
        <v>30</v>
      </c>
      <c r="I21" t="s">
        <v>31</v>
      </c>
      <c r="J21" s="2">
        <v>1</v>
      </c>
      <c r="K21" t="s">
        <v>28</v>
      </c>
      <c r="L21" s="2">
        <v>37</v>
      </c>
      <c r="M21" s="2">
        <v>11</v>
      </c>
      <c r="N21" s="2">
        <v>12</v>
      </c>
      <c r="O21" s="2">
        <v>50</v>
      </c>
      <c r="P21" s="2">
        <v>22</v>
      </c>
      <c r="Q21" s="2">
        <v>22</v>
      </c>
      <c r="R21" s="2">
        <v>211</v>
      </c>
      <c r="S21" s="2" t="s">
        <v>29</v>
      </c>
      <c r="T21" t="s">
        <v>42</v>
      </c>
      <c r="U21">
        <v>0</v>
      </c>
      <c r="V21">
        <v>4.1400000000000006</v>
      </c>
      <c r="W21">
        <v>0.36</v>
      </c>
      <c r="X21">
        <v>0</v>
      </c>
      <c r="Y21"/>
      <c r="AA21"/>
    </row>
    <row r="22" spans="1:27" x14ac:dyDescent="0.25">
      <c r="A22">
        <v>202600615</v>
      </c>
      <c r="B22" t="s">
        <v>158</v>
      </c>
      <c r="C22" t="s">
        <v>182</v>
      </c>
      <c r="D22" s="21">
        <v>46310</v>
      </c>
      <c r="E22" t="s">
        <v>51</v>
      </c>
      <c r="F22">
        <v>42</v>
      </c>
      <c r="G22" s="1">
        <v>46307</v>
      </c>
      <c r="H22" t="s">
        <v>30</v>
      </c>
      <c r="I22" t="s">
        <v>31</v>
      </c>
      <c r="J22" s="2">
        <v>1</v>
      </c>
      <c r="K22" t="s">
        <v>28</v>
      </c>
      <c r="L22" s="2">
        <v>37</v>
      </c>
      <c r="M22" s="2">
        <v>11</v>
      </c>
      <c r="N22" s="2">
        <v>12</v>
      </c>
      <c r="O22" s="2">
        <v>50</v>
      </c>
      <c r="P22" s="2">
        <v>22</v>
      </c>
      <c r="Q22" s="2">
        <v>22</v>
      </c>
      <c r="R22" s="2">
        <v>197</v>
      </c>
      <c r="S22" s="2" t="s">
        <v>29</v>
      </c>
      <c r="T22" t="s">
        <v>42</v>
      </c>
      <c r="U22">
        <v>0</v>
      </c>
      <c r="V22">
        <v>4.1400000000000006</v>
      </c>
      <c r="W22">
        <v>0.36</v>
      </c>
      <c r="X22">
        <v>0</v>
      </c>
      <c r="Y22"/>
      <c r="AA22"/>
    </row>
    <row r="23" spans="1:27" x14ac:dyDescent="0.25">
      <c r="A23">
        <v>202600615</v>
      </c>
      <c r="B23" t="s">
        <v>158</v>
      </c>
      <c r="C23" t="s">
        <v>182</v>
      </c>
      <c r="D23" s="21">
        <v>46310</v>
      </c>
      <c r="E23" t="s">
        <v>51</v>
      </c>
      <c r="F23">
        <v>42</v>
      </c>
      <c r="G23" s="1">
        <v>46307</v>
      </c>
      <c r="H23" t="s">
        <v>82</v>
      </c>
      <c r="I23" t="s">
        <v>160</v>
      </c>
      <c r="J23" s="2">
        <v>1</v>
      </c>
      <c r="K23" t="s">
        <v>28</v>
      </c>
      <c r="L23" s="2">
        <v>10</v>
      </c>
      <c r="M23" s="2">
        <v>3</v>
      </c>
      <c r="N23" s="2">
        <v>0</v>
      </c>
      <c r="O23" s="2">
        <v>7</v>
      </c>
      <c r="P23" s="2">
        <v>0</v>
      </c>
      <c r="Q23" s="2">
        <v>0</v>
      </c>
      <c r="R23" s="2">
        <v>207</v>
      </c>
      <c r="S23" s="2" t="s">
        <v>29</v>
      </c>
      <c r="T23" t="s">
        <v>47</v>
      </c>
      <c r="U23">
        <v>7.83</v>
      </c>
      <c r="V23">
        <v>4.4950000000000001</v>
      </c>
      <c r="W23">
        <v>0.87</v>
      </c>
      <c r="X23">
        <v>1.3049999999999999</v>
      </c>
      <c r="Y23"/>
      <c r="AA23"/>
    </row>
    <row r="24" spans="1:27" x14ac:dyDescent="0.25">
      <c r="A24">
        <v>202600615</v>
      </c>
      <c r="B24" t="s">
        <v>158</v>
      </c>
      <c r="C24" t="s">
        <v>182</v>
      </c>
      <c r="D24" s="21">
        <v>46310</v>
      </c>
      <c r="E24" t="s">
        <v>51</v>
      </c>
      <c r="F24">
        <v>42</v>
      </c>
      <c r="G24" s="1">
        <v>46307</v>
      </c>
      <c r="H24" t="s">
        <v>154</v>
      </c>
      <c r="I24" t="s">
        <v>155</v>
      </c>
      <c r="J24" s="2">
        <v>1</v>
      </c>
      <c r="K24" t="s">
        <v>28</v>
      </c>
      <c r="L24" s="2">
        <v>3</v>
      </c>
      <c r="M24" s="2">
        <v>1</v>
      </c>
      <c r="N24" s="2">
        <v>0</v>
      </c>
      <c r="O24" s="2">
        <v>2</v>
      </c>
      <c r="P24" s="2">
        <v>0</v>
      </c>
      <c r="Q24" s="2">
        <v>0</v>
      </c>
      <c r="R24" s="2">
        <v>196</v>
      </c>
      <c r="S24" s="2" t="s">
        <v>8</v>
      </c>
      <c r="T24" t="s">
        <v>47</v>
      </c>
      <c r="U24">
        <v>7.83</v>
      </c>
      <c r="V24">
        <v>4.4950000000000001</v>
      </c>
      <c r="W24">
        <v>0.87</v>
      </c>
      <c r="X24">
        <v>1.3049999999999999</v>
      </c>
      <c r="Y24"/>
      <c r="AA24"/>
    </row>
    <row r="25" spans="1:27" x14ac:dyDescent="0.25">
      <c r="A25">
        <v>202600615</v>
      </c>
      <c r="B25" t="s">
        <v>158</v>
      </c>
      <c r="C25" t="s">
        <v>182</v>
      </c>
      <c r="D25" s="21">
        <v>46310</v>
      </c>
      <c r="E25" t="s">
        <v>51</v>
      </c>
      <c r="F25">
        <v>42</v>
      </c>
      <c r="G25" s="1">
        <v>46307</v>
      </c>
      <c r="H25" t="s">
        <v>161</v>
      </c>
      <c r="I25" t="s">
        <v>162</v>
      </c>
      <c r="J25" s="2">
        <v>1</v>
      </c>
      <c r="K25" t="s">
        <v>28</v>
      </c>
      <c r="L25" s="2">
        <v>1</v>
      </c>
      <c r="M25" s="2">
        <v>2</v>
      </c>
      <c r="N25" s="2">
        <v>0</v>
      </c>
      <c r="O25" s="2">
        <v>0</v>
      </c>
      <c r="P25" s="2">
        <v>1</v>
      </c>
      <c r="Q25" s="2">
        <v>1</v>
      </c>
      <c r="R25" s="2">
        <v>212</v>
      </c>
      <c r="S25" s="2" t="s">
        <v>9</v>
      </c>
      <c r="T25" t="s">
        <v>47</v>
      </c>
      <c r="U25">
        <v>7.83</v>
      </c>
      <c r="V25">
        <v>4.4950000000000001</v>
      </c>
      <c r="W25">
        <v>0.87</v>
      </c>
      <c r="X25">
        <v>1.3049999999999999</v>
      </c>
      <c r="Y25"/>
      <c r="AA25"/>
    </row>
    <row r="26" spans="1:27" x14ac:dyDescent="0.25">
      <c r="A26">
        <v>202600615</v>
      </c>
      <c r="B26" t="s">
        <v>158</v>
      </c>
      <c r="C26" t="s">
        <v>182</v>
      </c>
      <c r="D26" s="21">
        <v>46310</v>
      </c>
      <c r="E26" t="s">
        <v>51</v>
      </c>
      <c r="F26">
        <v>42</v>
      </c>
      <c r="G26" s="1">
        <v>46307</v>
      </c>
      <c r="H26" t="s">
        <v>34</v>
      </c>
      <c r="I26" t="s">
        <v>35</v>
      </c>
      <c r="J26" s="2">
        <v>1</v>
      </c>
      <c r="K26" t="s">
        <v>28</v>
      </c>
      <c r="L26" s="2">
        <v>13</v>
      </c>
      <c r="M26" s="2">
        <v>11</v>
      </c>
      <c r="N26" s="2">
        <v>2</v>
      </c>
      <c r="O26" s="2">
        <v>12</v>
      </c>
      <c r="P26" s="2">
        <v>9</v>
      </c>
      <c r="Q26" s="2">
        <v>9</v>
      </c>
      <c r="R26" s="2">
        <v>213</v>
      </c>
      <c r="S26" s="2" t="s">
        <v>29</v>
      </c>
      <c r="T26" t="s">
        <v>44</v>
      </c>
      <c r="U26">
        <v>0</v>
      </c>
      <c r="V26">
        <v>4.5</v>
      </c>
      <c r="W26">
        <v>0</v>
      </c>
      <c r="X26">
        <v>0</v>
      </c>
      <c r="Y26"/>
      <c r="AA26"/>
    </row>
    <row r="27" spans="1:27" x14ac:dyDescent="0.25">
      <c r="A27">
        <v>202600615</v>
      </c>
      <c r="B27" t="s">
        <v>158</v>
      </c>
      <c r="C27" t="s">
        <v>182</v>
      </c>
      <c r="D27" s="21">
        <v>46310</v>
      </c>
      <c r="E27" t="s">
        <v>51</v>
      </c>
      <c r="F27">
        <v>42</v>
      </c>
      <c r="G27" s="1">
        <v>46307</v>
      </c>
      <c r="H27" t="s">
        <v>71</v>
      </c>
      <c r="I27" t="s">
        <v>72</v>
      </c>
      <c r="J27" s="2">
        <v>1</v>
      </c>
      <c r="K27" t="s">
        <v>28</v>
      </c>
      <c r="L27" s="2">
        <v>8</v>
      </c>
      <c r="M27" s="2">
        <v>1</v>
      </c>
      <c r="N27" s="2">
        <v>2</v>
      </c>
      <c r="O27" s="2">
        <v>14</v>
      </c>
      <c r="P27" s="2">
        <v>7</v>
      </c>
      <c r="Q27" s="2">
        <v>7</v>
      </c>
      <c r="R27" s="2">
        <v>204</v>
      </c>
      <c r="S27" s="2" t="s">
        <v>8</v>
      </c>
      <c r="T27" t="s">
        <v>44</v>
      </c>
      <c r="U27">
        <v>0</v>
      </c>
      <c r="V27">
        <v>4.5</v>
      </c>
      <c r="W27">
        <v>0</v>
      </c>
      <c r="X27">
        <v>0</v>
      </c>
      <c r="Y27"/>
      <c r="AA27"/>
    </row>
    <row r="28" spans="1:27" x14ac:dyDescent="0.25">
      <c r="A28">
        <v>202600615</v>
      </c>
      <c r="B28" t="s">
        <v>158</v>
      </c>
      <c r="C28" t="s">
        <v>182</v>
      </c>
      <c r="D28" s="21">
        <v>46310</v>
      </c>
      <c r="E28" t="s">
        <v>51</v>
      </c>
      <c r="F28">
        <v>42</v>
      </c>
      <c r="G28" s="1">
        <v>46307</v>
      </c>
      <c r="H28" t="s">
        <v>133</v>
      </c>
      <c r="I28" t="s">
        <v>134</v>
      </c>
      <c r="J28" s="2">
        <v>1</v>
      </c>
      <c r="K28" t="s">
        <v>28</v>
      </c>
      <c r="L28" s="2">
        <v>5</v>
      </c>
      <c r="M28" s="2">
        <v>1</v>
      </c>
      <c r="N28" s="2">
        <v>0</v>
      </c>
      <c r="O28" s="2">
        <v>5</v>
      </c>
      <c r="P28" s="2">
        <v>1</v>
      </c>
      <c r="Q28" s="2">
        <v>1</v>
      </c>
      <c r="R28" s="2">
        <v>198</v>
      </c>
      <c r="S28" s="2" t="s">
        <v>8</v>
      </c>
      <c r="T28" t="s">
        <v>44</v>
      </c>
      <c r="U28">
        <v>0</v>
      </c>
      <c r="V28">
        <v>4.5</v>
      </c>
      <c r="W28">
        <v>0</v>
      </c>
      <c r="X28">
        <v>0</v>
      </c>
      <c r="Y28"/>
      <c r="AA28"/>
    </row>
    <row r="29" spans="1:27" x14ac:dyDescent="0.25">
      <c r="A29">
        <v>202600657</v>
      </c>
      <c r="B29" t="s">
        <v>183</v>
      </c>
      <c r="C29" t="s">
        <v>23</v>
      </c>
      <c r="D29" s="21">
        <v>46310</v>
      </c>
      <c r="E29" t="s">
        <v>51</v>
      </c>
      <c r="F29">
        <v>42</v>
      </c>
      <c r="G29" s="1">
        <v>46307</v>
      </c>
      <c r="H29" t="s">
        <v>66</v>
      </c>
      <c r="I29" t="s">
        <v>67</v>
      </c>
      <c r="J29" s="2">
        <v>1</v>
      </c>
      <c r="K29" t="s">
        <v>28</v>
      </c>
      <c r="L29" s="2">
        <v>11</v>
      </c>
      <c r="M29" s="2">
        <v>11</v>
      </c>
      <c r="N29" s="2">
        <v>0</v>
      </c>
      <c r="O29" s="2">
        <v>0</v>
      </c>
      <c r="P29" s="2">
        <v>0</v>
      </c>
      <c r="Q29" s="2">
        <v>0</v>
      </c>
      <c r="R29" s="2">
        <v>235</v>
      </c>
      <c r="S29" s="2" t="s">
        <v>9</v>
      </c>
      <c r="T29" t="s">
        <v>45</v>
      </c>
      <c r="U29"/>
      <c r="V29"/>
      <c r="W29"/>
      <c r="X29"/>
      <c r="Y29"/>
      <c r="AA29"/>
    </row>
    <row r="30" spans="1:27" x14ac:dyDescent="0.25">
      <c r="A30">
        <v>202600654</v>
      </c>
      <c r="B30" t="s">
        <v>184</v>
      </c>
      <c r="C30" t="s">
        <v>23</v>
      </c>
      <c r="D30" s="21">
        <v>46310</v>
      </c>
      <c r="E30" t="s">
        <v>51</v>
      </c>
      <c r="F30">
        <v>42</v>
      </c>
      <c r="G30" s="1">
        <v>46307</v>
      </c>
      <c r="H30" t="s">
        <v>66</v>
      </c>
      <c r="I30" t="s">
        <v>67</v>
      </c>
      <c r="J30" s="2">
        <v>1</v>
      </c>
      <c r="K30" t="s">
        <v>28</v>
      </c>
      <c r="L30" s="2">
        <v>11</v>
      </c>
      <c r="M30" s="2">
        <v>11</v>
      </c>
      <c r="N30" s="2">
        <v>0</v>
      </c>
      <c r="O30" s="2">
        <v>0</v>
      </c>
      <c r="P30" s="2">
        <v>0</v>
      </c>
      <c r="Q30" s="2">
        <v>0</v>
      </c>
      <c r="R30" s="2">
        <v>229</v>
      </c>
      <c r="S30" s="2" t="s">
        <v>9</v>
      </c>
      <c r="T30" t="s">
        <v>45</v>
      </c>
      <c r="U30"/>
      <c r="V30"/>
      <c r="W30"/>
      <c r="X30"/>
      <c r="Y30"/>
      <c r="AA30"/>
    </row>
    <row r="31" spans="1:27" x14ac:dyDescent="0.25">
      <c r="A31">
        <v>202600706</v>
      </c>
      <c r="B31"/>
      <c r="C31" t="s">
        <v>220</v>
      </c>
      <c r="D31" s="21">
        <v>46310</v>
      </c>
      <c r="E31" t="s">
        <v>51</v>
      </c>
      <c r="F31">
        <v>42</v>
      </c>
      <c r="G31" s="1">
        <v>46307</v>
      </c>
      <c r="H31" t="s">
        <v>221</v>
      </c>
      <c r="I31" t="s">
        <v>222</v>
      </c>
      <c r="J31" s="2">
        <v>1</v>
      </c>
      <c r="K31" t="s">
        <v>28</v>
      </c>
      <c r="L31" s="2">
        <v>1</v>
      </c>
      <c r="M31" s="2">
        <v>0</v>
      </c>
      <c r="N31" s="2">
        <v>3</v>
      </c>
      <c r="O31" s="2">
        <v>0</v>
      </c>
      <c r="P31" s="2">
        <v>-1</v>
      </c>
      <c r="Q31" s="2">
        <v>-1</v>
      </c>
      <c r="R31" s="2">
        <v>340</v>
      </c>
      <c r="S31" s="2" t="s">
        <v>22</v>
      </c>
      <c r="T31" t="s">
        <v>42</v>
      </c>
      <c r="U31">
        <v>0</v>
      </c>
      <c r="V31">
        <v>4.1400000000000006</v>
      </c>
      <c r="W31">
        <v>0.36</v>
      </c>
      <c r="X31">
        <v>0</v>
      </c>
      <c r="Y31"/>
      <c r="AA31"/>
    </row>
    <row r="32" spans="1:27" x14ac:dyDescent="0.25">
      <c r="A32">
        <v>202600706</v>
      </c>
      <c r="B32"/>
      <c r="C32" t="s">
        <v>220</v>
      </c>
      <c r="D32" s="21">
        <v>46310</v>
      </c>
      <c r="E32" t="s">
        <v>51</v>
      </c>
      <c r="F32">
        <v>42</v>
      </c>
      <c r="G32" s="1">
        <v>46307</v>
      </c>
      <c r="H32" t="s">
        <v>30</v>
      </c>
      <c r="I32" t="s">
        <v>31</v>
      </c>
      <c r="J32" s="2">
        <v>1</v>
      </c>
      <c r="K32" t="s">
        <v>28</v>
      </c>
      <c r="L32" s="2">
        <v>37</v>
      </c>
      <c r="M32" s="2">
        <v>11</v>
      </c>
      <c r="N32" s="2">
        <v>12</v>
      </c>
      <c r="O32" s="2">
        <v>50</v>
      </c>
      <c r="P32" s="2">
        <v>22</v>
      </c>
      <c r="Q32" s="2">
        <v>22</v>
      </c>
      <c r="R32" s="2">
        <v>336</v>
      </c>
      <c r="S32" s="2" t="s">
        <v>29</v>
      </c>
      <c r="T32" t="s">
        <v>42</v>
      </c>
      <c r="U32">
        <v>0</v>
      </c>
      <c r="V32">
        <v>4.1400000000000006</v>
      </c>
      <c r="W32">
        <v>0.36</v>
      </c>
      <c r="X32">
        <v>0</v>
      </c>
      <c r="Y32"/>
      <c r="AA32"/>
    </row>
    <row r="33" spans="1:27" x14ac:dyDescent="0.25">
      <c r="A33">
        <v>202600706</v>
      </c>
      <c r="B33"/>
      <c r="C33" t="s">
        <v>220</v>
      </c>
      <c r="D33" s="21">
        <v>46310</v>
      </c>
      <c r="E33" t="s">
        <v>51</v>
      </c>
      <c r="F33">
        <v>42</v>
      </c>
      <c r="G33" s="1">
        <v>46307</v>
      </c>
      <c r="H33" t="s">
        <v>30</v>
      </c>
      <c r="I33" t="s">
        <v>31</v>
      </c>
      <c r="J33" s="2">
        <v>1</v>
      </c>
      <c r="K33" t="s">
        <v>28</v>
      </c>
      <c r="L33" s="2">
        <v>37</v>
      </c>
      <c r="M33" s="2">
        <v>11</v>
      </c>
      <c r="N33" s="2">
        <v>12</v>
      </c>
      <c r="O33" s="2">
        <v>50</v>
      </c>
      <c r="P33" s="2">
        <v>22</v>
      </c>
      <c r="Q33" s="2">
        <v>22</v>
      </c>
      <c r="R33" s="2">
        <v>328</v>
      </c>
      <c r="S33" s="2" t="s">
        <v>29</v>
      </c>
      <c r="T33" t="s">
        <v>42</v>
      </c>
      <c r="U33">
        <v>0</v>
      </c>
      <c r="V33">
        <v>4.1400000000000006</v>
      </c>
      <c r="W33">
        <v>0.36</v>
      </c>
      <c r="X33">
        <v>0</v>
      </c>
      <c r="Y33"/>
      <c r="AA33"/>
    </row>
    <row r="34" spans="1:27" x14ac:dyDescent="0.25">
      <c r="A34">
        <v>202600706</v>
      </c>
      <c r="B34"/>
      <c r="C34" t="s">
        <v>220</v>
      </c>
      <c r="D34" s="21">
        <v>46310</v>
      </c>
      <c r="E34" t="s">
        <v>51</v>
      </c>
      <c r="F34">
        <v>42</v>
      </c>
      <c r="G34" s="1">
        <v>46307</v>
      </c>
      <c r="H34" t="s">
        <v>115</v>
      </c>
      <c r="I34" t="s">
        <v>116</v>
      </c>
      <c r="J34" s="2">
        <v>1</v>
      </c>
      <c r="K34" t="s">
        <v>28</v>
      </c>
      <c r="L34" s="2">
        <v>2</v>
      </c>
      <c r="M34" s="2">
        <v>0</v>
      </c>
      <c r="N34" s="2">
        <v>0</v>
      </c>
      <c r="O34" s="2">
        <v>2</v>
      </c>
      <c r="P34" s="2">
        <v>0</v>
      </c>
      <c r="Q34" s="2">
        <v>0</v>
      </c>
      <c r="R34" s="2">
        <v>332</v>
      </c>
      <c r="S34" s="2" t="s">
        <v>8</v>
      </c>
      <c r="T34" t="s">
        <v>42</v>
      </c>
      <c r="U34">
        <v>0</v>
      </c>
      <c r="V34">
        <v>4.1400000000000006</v>
      </c>
      <c r="W34">
        <v>0.36</v>
      </c>
      <c r="X34">
        <v>0</v>
      </c>
      <c r="Y34"/>
      <c r="AA34"/>
    </row>
    <row r="35" spans="1:27" x14ac:dyDescent="0.25">
      <c r="A35">
        <v>202600706</v>
      </c>
      <c r="B35"/>
      <c r="C35" t="s">
        <v>220</v>
      </c>
      <c r="D35" s="21">
        <v>46310</v>
      </c>
      <c r="E35" t="s">
        <v>51</v>
      </c>
      <c r="F35">
        <v>42</v>
      </c>
      <c r="G35" s="1">
        <v>46307</v>
      </c>
      <c r="H35" t="s">
        <v>139</v>
      </c>
      <c r="I35" t="s">
        <v>140</v>
      </c>
      <c r="J35" s="2">
        <v>1</v>
      </c>
      <c r="K35" t="s">
        <v>28</v>
      </c>
      <c r="L35" s="2">
        <v>2</v>
      </c>
      <c r="M35" s="2">
        <v>0</v>
      </c>
      <c r="N35" s="2">
        <v>2</v>
      </c>
      <c r="O35" s="2">
        <v>2</v>
      </c>
      <c r="P35" s="2">
        <v>0</v>
      </c>
      <c r="Q35" s="2">
        <v>0</v>
      </c>
      <c r="R35" s="2">
        <v>338</v>
      </c>
      <c r="S35" s="2" t="s">
        <v>8</v>
      </c>
      <c r="T35" t="s">
        <v>92</v>
      </c>
      <c r="U35">
        <v>6.2700000000000005</v>
      </c>
      <c r="V35">
        <v>2.09</v>
      </c>
      <c r="W35">
        <v>0.66500000000000004</v>
      </c>
      <c r="X35">
        <v>0.47500000000000003</v>
      </c>
      <c r="Y35"/>
      <c r="AA35"/>
    </row>
    <row r="36" spans="1:27" x14ac:dyDescent="0.25">
      <c r="A36">
        <v>202600706</v>
      </c>
      <c r="B36"/>
      <c r="C36" t="s">
        <v>220</v>
      </c>
      <c r="D36" s="21">
        <v>46310</v>
      </c>
      <c r="E36" t="s">
        <v>51</v>
      </c>
      <c r="F36">
        <v>42</v>
      </c>
      <c r="G36" s="1">
        <v>46307</v>
      </c>
      <c r="H36" t="s">
        <v>96</v>
      </c>
      <c r="I36" t="s">
        <v>97</v>
      </c>
      <c r="J36" s="2">
        <v>1</v>
      </c>
      <c r="K36" t="s">
        <v>28</v>
      </c>
      <c r="L36" s="2">
        <v>4</v>
      </c>
      <c r="M36" s="2">
        <v>1</v>
      </c>
      <c r="N36" s="2">
        <v>3</v>
      </c>
      <c r="O36" s="2">
        <v>0</v>
      </c>
      <c r="P36" s="2">
        <v>-3</v>
      </c>
      <c r="Q36" s="2">
        <v>-3</v>
      </c>
      <c r="R36" s="2">
        <v>330</v>
      </c>
      <c r="S36" s="2" t="s">
        <v>22</v>
      </c>
      <c r="T36" t="s">
        <v>47</v>
      </c>
      <c r="U36">
        <v>7.83</v>
      </c>
      <c r="V36">
        <v>4.4950000000000001</v>
      </c>
      <c r="W36">
        <v>0.87</v>
      </c>
      <c r="X36">
        <v>1.3049999999999999</v>
      </c>
      <c r="Y36"/>
      <c r="AA36"/>
    </row>
    <row r="37" spans="1:27" x14ac:dyDescent="0.25">
      <c r="A37">
        <v>202600706</v>
      </c>
      <c r="B37"/>
      <c r="C37" t="s">
        <v>220</v>
      </c>
      <c r="D37" s="21">
        <v>46310</v>
      </c>
      <c r="E37" t="s">
        <v>51</v>
      </c>
      <c r="F37">
        <v>42</v>
      </c>
      <c r="G37" s="1">
        <v>46307</v>
      </c>
      <c r="H37" t="s">
        <v>96</v>
      </c>
      <c r="I37" t="s">
        <v>97</v>
      </c>
      <c r="J37" s="2">
        <v>1</v>
      </c>
      <c r="K37" t="s">
        <v>28</v>
      </c>
      <c r="L37" s="2">
        <v>4</v>
      </c>
      <c r="M37" s="2">
        <v>1</v>
      </c>
      <c r="N37" s="2">
        <v>3</v>
      </c>
      <c r="O37" s="2">
        <v>0</v>
      </c>
      <c r="P37" s="2">
        <v>-3</v>
      </c>
      <c r="Q37" s="2">
        <v>-3</v>
      </c>
      <c r="R37" s="2">
        <v>329</v>
      </c>
      <c r="S37" s="2" t="s">
        <v>22</v>
      </c>
      <c r="T37" t="s">
        <v>47</v>
      </c>
      <c r="U37">
        <v>7.83</v>
      </c>
      <c r="V37">
        <v>4.4950000000000001</v>
      </c>
      <c r="W37">
        <v>0.87</v>
      </c>
      <c r="X37">
        <v>1.3049999999999999</v>
      </c>
      <c r="Y37"/>
      <c r="AA37"/>
    </row>
    <row r="38" spans="1:27" x14ac:dyDescent="0.25">
      <c r="A38">
        <v>202600706</v>
      </c>
      <c r="B38"/>
      <c r="C38" t="s">
        <v>220</v>
      </c>
      <c r="D38" s="21">
        <v>46310</v>
      </c>
      <c r="E38" t="s">
        <v>51</v>
      </c>
      <c r="F38">
        <v>42</v>
      </c>
      <c r="G38" s="1">
        <v>46307</v>
      </c>
      <c r="H38" t="s">
        <v>225</v>
      </c>
      <c r="I38" t="s">
        <v>226</v>
      </c>
      <c r="J38" s="2">
        <v>1</v>
      </c>
      <c r="K38" t="s">
        <v>28</v>
      </c>
      <c r="L38" s="2">
        <v>1</v>
      </c>
      <c r="M38" s="2">
        <v>0</v>
      </c>
      <c r="N38" s="2">
        <v>1</v>
      </c>
      <c r="O38" s="2">
        <v>0</v>
      </c>
      <c r="P38" s="2">
        <v>-1</v>
      </c>
      <c r="Q38" s="2">
        <v>-1</v>
      </c>
      <c r="R38" s="2">
        <v>341</v>
      </c>
      <c r="S38" s="2" t="s">
        <v>22</v>
      </c>
      <c r="T38" t="s">
        <v>52</v>
      </c>
      <c r="U38">
        <v>4.34</v>
      </c>
      <c r="V38">
        <v>1.68</v>
      </c>
      <c r="W38">
        <v>0.42</v>
      </c>
      <c r="X38">
        <v>0.56000000000000005</v>
      </c>
      <c r="Y38"/>
      <c r="AA38"/>
    </row>
    <row r="39" spans="1:27" x14ac:dyDescent="0.25">
      <c r="A39">
        <v>202600706</v>
      </c>
      <c r="B39"/>
      <c r="C39" t="s">
        <v>220</v>
      </c>
      <c r="D39" s="21">
        <v>46310</v>
      </c>
      <c r="E39" t="s">
        <v>51</v>
      </c>
      <c r="F39">
        <v>42</v>
      </c>
      <c r="G39" s="1">
        <v>46307</v>
      </c>
      <c r="H39" t="s">
        <v>227</v>
      </c>
      <c r="I39" t="s">
        <v>228</v>
      </c>
      <c r="J39" s="2">
        <v>1</v>
      </c>
      <c r="K39" t="s">
        <v>28</v>
      </c>
      <c r="L39" s="2">
        <v>1</v>
      </c>
      <c r="M39" s="2">
        <v>1</v>
      </c>
      <c r="N39" s="2">
        <v>0</v>
      </c>
      <c r="O39" s="2">
        <v>0</v>
      </c>
      <c r="P39" s="2">
        <v>0</v>
      </c>
      <c r="Q39" s="2">
        <v>0</v>
      </c>
      <c r="R39" s="2">
        <v>333</v>
      </c>
      <c r="S39" s="2" t="s">
        <v>9</v>
      </c>
      <c r="T39" t="s">
        <v>47</v>
      </c>
      <c r="U39">
        <v>7.83</v>
      </c>
      <c r="V39">
        <v>4.4950000000000001</v>
      </c>
      <c r="W39">
        <v>0.87</v>
      </c>
      <c r="X39">
        <v>1.3049999999999999</v>
      </c>
      <c r="Y39"/>
      <c r="AA39"/>
    </row>
    <row r="40" spans="1:27" x14ac:dyDescent="0.25">
      <c r="A40">
        <v>202600706</v>
      </c>
      <c r="B40"/>
      <c r="C40" t="s">
        <v>220</v>
      </c>
      <c r="D40" s="21">
        <v>46310</v>
      </c>
      <c r="E40" t="s">
        <v>51</v>
      </c>
      <c r="F40">
        <v>42</v>
      </c>
      <c r="G40" s="1">
        <v>46307</v>
      </c>
      <c r="H40" t="s">
        <v>24</v>
      </c>
      <c r="I40" t="s">
        <v>25</v>
      </c>
      <c r="J40" s="2">
        <v>1</v>
      </c>
      <c r="K40" t="s">
        <v>28</v>
      </c>
      <c r="L40" s="2">
        <v>22</v>
      </c>
      <c r="M40" s="2">
        <v>0</v>
      </c>
      <c r="N40" s="2">
        <v>1</v>
      </c>
      <c r="O40" s="2">
        <v>21</v>
      </c>
      <c r="P40" s="2">
        <v>-1</v>
      </c>
      <c r="Q40" s="2">
        <v>-1</v>
      </c>
      <c r="R40" s="2">
        <v>337</v>
      </c>
      <c r="S40" s="2" t="s">
        <v>22</v>
      </c>
      <c r="T40" t="s">
        <v>47</v>
      </c>
      <c r="U40">
        <v>7.83</v>
      </c>
      <c r="V40">
        <v>4.4950000000000001</v>
      </c>
      <c r="W40">
        <v>0.87</v>
      </c>
      <c r="X40">
        <v>1.3049999999999999</v>
      </c>
    </row>
    <row r="41" spans="1:27" x14ac:dyDescent="0.25">
      <c r="A41">
        <v>202600706</v>
      </c>
      <c r="B41"/>
      <c r="C41" t="s">
        <v>220</v>
      </c>
      <c r="D41" s="21">
        <v>46310</v>
      </c>
      <c r="E41" t="s">
        <v>51</v>
      </c>
      <c r="F41">
        <v>42</v>
      </c>
      <c r="G41" s="1">
        <v>46307</v>
      </c>
      <c r="H41" t="s">
        <v>141</v>
      </c>
      <c r="I41" t="s">
        <v>142</v>
      </c>
      <c r="J41" s="2">
        <v>1</v>
      </c>
      <c r="K41" t="s">
        <v>28</v>
      </c>
      <c r="L41" s="2">
        <v>1</v>
      </c>
      <c r="M41" s="2">
        <v>0</v>
      </c>
      <c r="N41" s="2">
        <v>0</v>
      </c>
      <c r="O41" s="2">
        <v>1</v>
      </c>
      <c r="P41" s="2">
        <v>0</v>
      </c>
      <c r="Q41" s="2">
        <v>0</v>
      </c>
      <c r="R41" s="2">
        <v>334</v>
      </c>
      <c r="S41" s="2" t="s">
        <v>8</v>
      </c>
      <c r="T41" t="s">
        <v>47</v>
      </c>
      <c r="U41">
        <v>7.83</v>
      </c>
      <c r="V41">
        <v>4.4950000000000001</v>
      </c>
      <c r="W41">
        <v>0.87</v>
      </c>
      <c r="X41">
        <v>1.3049999999999999</v>
      </c>
    </row>
    <row r="42" spans="1:27" x14ac:dyDescent="0.25">
      <c r="A42">
        <v>202600706</v>
      </c>
      <c r="B42"/>
      <c r="C42" t="s">
        <v>220</v>
      </c>
      <c r="D42" s="21">
        <v>46310</v>
      </c>
      <c r="E42" t="s">
        <v>51</v>
      </c>
      <c r="F42">
        <v>42</v>
      </c>
      <c r="G42" s="1">
        <v>46307</v>
      </c>
      <c r="H42" t="s">
        <v>229</v>
      </c>
      <c r="I42" t="s">
        <v>230</v>
      </c>
      <c r="J42" s="2">
        <v>1</v>
      </c>
      <c r="K42" t="s">
        <v>28</v>
      </c>
      <c r="L42" s="2">
        <v>1</v>
      </c>
      <c r="M42" s="2">
        <v>1</v>
      </c>
      <c r="N42" s="2">
        <v>1</v>
      </c>
      <c r="O42" s="2">
        <v>0</v>
      </c>
      <c r="P42" s="2">
        <v>0</v>
      </c>
      <c r="Q42" s="2">
        <v>0</v>
      </c>
      <c r="R42" s="2">
        <v>343</v>
      </c>
      <c r="S42" s="2" t="s">
        <v>9</v>
      </c>
      <c r="T42" t="s">
        <v>52</v>
      </c>
      <c r="U42">
        <v>0</v>
      </c>
      <c r="V42">
        <v>4.5</v>
      </c>
      <c r="W42">
        <v>0</v>
      </c>
      <c r="X42">
        <v>0</v>
      </c>
    </row>
    <row r="43" spans="1:27" x14ac:dyDescent="0.25">
      <c r="A43">
        <v>202600706</v>
      </c>
      <c r="B43"/>
      <c r="C43" t="s">
        <v>220</v>
      </c>
      <c r="D43" s="21">
        <v>46310</v>
      </c>
      <c r="E43" t="s">
        <v>51</v>
      </c>
      <c r="F43">
        <v>42</v>
      </c>
      <c r="G43" s="1">
        <v>46307</v>
      </c>
      <c r="H43" t="s">
        <v>163</v>
      </c>
      <c r="I43" t="s">
        <v>164</v>
      </c>
      <c r="J43" s="2">
        <v>1</v>
      </c>
      <c r="K43" t="s">
        <v>28</v>
      </c>
      <c r="L43" s="2">
        <v>2</v>
      </c>
      <c r="M43" s="2">
        <v>1</v>
      </c>
      <c r="N43" s="2">
        <v>0</v>
      </c>
      <c r="O43" s="2">
        <v>2</v>
      </c>
      <c r="P43" s="2">
        <v>1</v>
      </c>
      <c r="Q43" s="2">
        <v>1</v>
      </c>
      <c r="R43" s="2">
        <v>335</v>
      </c>
      <c r="S43" s="2" t="s">
        <v>8</v>
      </c>
      <c r="T43" t="s">
        <v>44</v>
      </c>
      <c r="U43"/>
      <c r="V43"/>
      <c r="W43"/>
      <c r="X43"/>
    </row>
    <row r="44" spans="1:27" x14ac:dyDescent="0.25">
      <c r="A44">
        <v>202600706</v>
      </c>
      <c r="B44"/>
      <c r="C44" t="s">
        <v>220</v>
      </c>
      <c r="D44" s="21">
        <v>46310</v>
      </c>
      <c r="E44" t="s">
        <v>51</v>
      </c>
      <c r="F44">
        <v>42</v>
      </c>
      <c r="G44" s="1">
        <v>46307</v>
      </c>
      <c r="H44" t="s">
        <v>64</v>
      </c>
      <c r="I44" t="s">
        <v>65</v>
      </c>
      <c r="J44" s="2">
        <v>1</v>
      </c>
      <c r="K44" t="s">
        <v>28</v>
      </c>
      <c r="L44" s="2">
        <v>8</v>
      </c>
      <c r="M44" s="2">
        <v>0</v>
      </c>
      <c r="N44" s="2">
        <v>2</v>
      </c>
      <c r="O44" s="2">
        <v>12</v>
      </c>
      <c r="P44" s="2">
        <v>4</v>
      </c>
      <c r="Q44" s="2">
        <v>4</v>
      </c>
      <c r="R44" s="2">
        <v>331</v>
      </c>
      <c r="S44" s="2" t="s">
        <v>8</v>
      </c>
      <c r="T44" t="s">
        <v>44</v>
      </c>
      <c r="U44">
        <v>0</v>
      </c>
      <c r="V44">
        <v>4.5</v>
      </c>
      <c r="W44">
        <v>0</v>
      </c>
      <c r="X44">
        <v>0</v>
      </c>
    </row>
    <row r="45" spans="1:27" x14ac:dyDescent="0.25">
      <c r="A45">
        <v>202600706</v>
      </c>
      <c r="B45"/>
      <c r="C45" t="s">
        <v>220</v>
      </c>
      <c r="D45" s="21">
        <v>46310</v>
      </c>
      <c r="E45" t="s">
        <v>51</v>
      </c>
      <c r="F45">
        <v>42</v>
      </c>
      <c r="G45" s="1">
        <v>46307</v>
      </c>
      <c r="H45" t="s">
        <v>231</v>
      </c>
      <c r="I45" t="s">
        <v>232</v>
      </c>
      <c r="J45" s="2">
        <v>1</v>
      </c>
      <c r="K45" t="s">
        <v>28</v>
      </c>
      <c r="L45" s="2">
        <v>1</v>
      </c>
      <c r="M45" s="2">
        <v>0</v>
      </c>
      <c r="N45" s="2">
        <v>1</v>
      </c>
      <c r="O45" s="2">
        <v>0</v>
      </c>
      <c r="P45" s="2">
        <v>-1</v>
      </c>
      <c r="Q45" s="2">
        <v>-1</v>
      </c>
      <c r="R45" s="2">
        <v>342</v>
      </c>
      <c r="S45" s="2" t="s">
        <v>22</v>
      </c>
      <c r="T45" t="s">
        <v>52</v>
      </c>
      <c r="U45">
        <v>0</v>
      </c>
      <c r="V45">
        <v>4.5</v>
      </c>
      <c r="W45">
        <v>0</v>
      </c>
      <c r="X45">
        <v>0</v>
      </c>
    </row>
    <row r="46" spans="1:27" x14ac:dyDescent="0.25">
      <c r="A46">
        <v>202600706</v>
      </c>
      <c r="B46"/>
      <c r="C46" t="s">
        <v>220</v>
      </c>
      <c r="D46" s="21">
        <v>46310</v>
      </c>
      <c r="E46" t="s">
        <v>51</v>
      </c>
      <c r="F46">
        <v>42</v>
      </c>
      <c r="G46" s="1">
        <v>46307</v>
      </c>
      <c r="H46" t="s">
        <v>102</v>
      </c>
      <c r="I46" t="s">
        <v>103</v>
      </c>
      <c r="J46" s="2">
        <v>1</v>
      </c>
      <c r="K46" t="s">
        <v>28</v>
      </c>
      <c r="L46" s="2">
        <v>5</v>
      </c>
      <c r="M46" s="2">
        <v>6</v>
      </c>
      <c r="N46" s="2">
        <v>3</v>
      </c>
      <c r="O46" s="2">
        <v>0</v>
      </c>
      <c r="P46" s="2">
        <v>1</v>
      </c>
      <c r="Q46" s="2">
        <v>1</v>
      </c>
      <c r="R46" s="2">
        <v>339</v>
      </c>
      <c r="S46" s="2" t="s">
        <v>9</v>
      </c>
      <c r="T46" t="s">
        <v>43</v>
      </c>
      <c r="U46">
        <v>8.1999999999999993</v>
      </c>
      <c r="V46">
        <v>0.2</v>
      </c>
      <c r="W46">
        <v>0.8</v>
      </c>
      <c r="X46">
        <v>0.89999999999999991</v>
      </c>
    </row>
    <row r="47" spans="1:27" x14ac:dyDescent="0.25">
      <c r="A47">
        <v>202600695</v>
      </c>
      <c r="B47"/>
      <c r="C47" t="s">
        <v>36</v>
      </c>
      <c r="D47" s="21">
        <v>46315</v>
      </c>
      <c r="E47" t="s">
        <v>89</v>
      </c>
      <c r="F47">
        <v>43</v>
      </c>
      <c r="G47" s="1">
        <v>46314</v>
      </c>
      <c r="H47" t="s">
        <v>135</v>
      </c>
      <c r="I47" t="s">
        <v>136</v>
      </c>
      <c r="J47" s="2">
        <v>1</v>
      </c>
      <c r="K47" t="s">
        <v>28</v>
      </c>
      <c r="L47" s="2">
        <v>5</v>
      </c>
      <c r="M47" s="2">
        <v>1</v>
      </c>
      <c r="N47" s="2">
        <v>0</v>
      </c>
      <c r="O47" s="2">
        <v>6</v>
      </c>
      <c r="P47" s="2">
        <v>2</v>
      </c>
      <c r="Q47" s="2">
        <v>2</v>
      </c>
      <c r="R47" s="2">
        <v>302</v>
      </c>
      <c r="S47" s="2" t="s">
        <v>8</v>
      </c>
      <c r="T47" t="s">
        <v>41</v>
      </c>
      <c r="U47"/>
      <c r="V47"/>
      <c r="W47"/>
      <c r="X47"/>
    </row>
    <row r="48" spans="1:27" x14ac:dyDescent="0.25">
      <c r="A48">
        <v>202600695</v>
      </c>
      <c r="B48"/>
      <c r="C48" t="s">
        <v>36</v>
      </c>
      <c r="D48" s="21">
        <v>46315</v>
      </c>
      <c r="E48" t="s">
        <v>89</v>
      </c>
      <c r="F48">
        <v>43</v>
      </c>
      <c r="G48" s="1">
        <v>46314</v>
      </c>
      <c r="H48" t="s">
        <v>30</v>
      </c>
      <c r="I48" t="s">
        <v>31</v>
      </c>
      <c r="J48" s="2">
        <v>1</v>
      </c>
      <c r="K48" t="s">
        <v>28</v>
      </c>
      <c r="L48" s="2">
        <v>37</v>
      </c>
      <c r="M48" s="2">
        <v>11</v>
      </c>
      <c r="N48" s="2">
        <v>12</v>
      </c>
      <c r="O48" s="2">
        <v>50</v>
      </c>
      <c r="P48" s="2">
        <v>22</v>
      </c>
      <c r="Q48" s="2">
        <v>22</v>
      </c>
      <c r="R48" s="2">
        <v>298</v>
      </c>
      <c r="S48" s="2" t="s">
        <v>29</v>
      </c>
      <c r="T48" t="s">
        <v>42</v>
      </c>
      <c r="U48">
        <v>0</v>
      </c>
      <c r="V48">
        <v>4.1400000000000006</v>
      </c>
      <c r="W48">
        <v>0.36</v>
      </c>
      <c r="X48">
        <v>0</v>
      </c>
    </row>
    <row r="49" spans="1:24" x14ac:dyDescent="0.25">
      <c r="A49">
        <v>202600695</v>
      </c>
      <c r="B49"/>
      <c r="C49" t="s">
        <v>36</v>
      </c>
      <c r="D49" s="21">
        <v>46315</v>
      </c>
      <c r="E49" t="s">
        <v>89</v>
      </c>
      <c r="F49">
        <v>43</v>
      </c>
      <c r="G49" s="1">
        <v>46314</v>
      </c>
      <c r="H49" t="s">
        <v>117</v>
      </c>
      <c r="I49" t="s">
        <v>118</v>
      </c>
      <c r="J49" s="2">
        <v>1</v>
      </c>
      <c r="K49" t="s">
        <v>28</v>
      </c>
      <c r="L49" s="2">
        <v>1</v>
      </c>
      <c r="M49" s="2">
        <v>1</v>
      </c>
      <c r="N49" s="2">
        <v>0</v>
      </c>
      <c r="O49" s="2">
        <v>3</v>
      </c>
      <c r="P49" s="2">
        <v>3</v>
      </c>
      <c r="Q49" s="2">
        <v>3</v>
      </c>
      <c r="R49" s="2">
        <v>300</v>
      </c>
      <c r="S49" s="2" t="s">
        <v>9</v>
      </c>
      <c r="T49" t="s">
        <v>47</v>
      </c>
      <c r="U49">
        <v>7.83</v>
      </c>
      <c r="V49">
        <v>4.4950000000000001</v>
      </c>
      <c r="W49">
        <v>0.87</v>
      </c>
      <c r="X49">
        <v>1.3049999999999999</v>
      </c>
    </row>
    <row r="50" spans="1:24" x14ac:dyDescent="0.25">
      <c r="A50">
        <v>202600695</v>
      </c>
      <c r="B50"/>
      <c r="C50" t="s">
        <v>36</v>
      </c>
      <c r="D50" s="21">
        <v>46315</v>
      </c>
      <c r="E50" t="s">
        <v>89</v>
      </c>
      <c r="F50">
        <v>43</v>
      </c>
      <c r="G50" s="1">
        <v>46314</v>
      </c>
      <c r="H50" t="s">
        <v>24</v>
      </c>
      <c r="I50" t="s">
        <v>25</v>
      </c>
      <c r="J50" s="2">
        <v>1</v>
      </c>
      <c r="K50" t="s">
        <v>28</v>
      </c>
      <c r="L50" s="2">
        <v>22</v>
      </c>
      <c r="M50" s="2">
        <v>0</v>
      </c>
      <c r="N50" s="2">
        <v>1</v>
      </c>
      <c r="O50" s="2">
        <v>21</v>
      </c>
      <c r="P50" s="2">
        <v>-1</v>
      </c>
      <c r="Q50" s="2">
        <v>-1</v>
      </c>
      <c r="R50" s="2">
        <v>299</v>
      </c>
      <c r="S50" s="2" t="s">
        <v>22</v>
      </c>
      <c r="T50" t="s">
        <v>47</v>
      </c>
      <c r="U50">
        <v>7.83</v>
      </c>
      <c r="V50">
        <v>4.4950000000000001</v>
      </c>
      <c r="W50">
        <v>0.87</v>
      </c>
      <c r="X50">
        <v>1.3049999999999999</v>
      </c>
    </row>
    <row r="51" spans="1:24" x14ac:dyDescent="0.25">
      <c r="A51">
        <v>202600695</v>
      </c>
      <c r="B51"/>
      <c r="C51" t="s">
        <v>36</v>
      </c>
      <c r="D51" s="21">
        <v>46315</v>
      </c>
      <c r="E51" t="s">
        <v>89</v>
      </c>
      <c r="F51">
        <v>43</v>
      </c>
      <c r="G51" s="1">
        <v>46314</v>
      </c>
      <c r="H51" t="s">
        <v>163</v>
      </c>
      <c r="I51" t="s">
        <v>164</v>
      </c>
      <c r="J51" s="2">
        <v>1</v>
      </c>
      <c r="K51" t="s">
        <v>28</v>
      </c>
      <c r="L51" s="2">
        <v>2</v>
      </c>
      <c r="M51" s="2">
        <v>1</v>
      </c>
      <c r="N51" s="2">
        <v>0</v>
      </c>
      <c r="O51" s="2">
        <v>2</v>
      </c>
      <c r="P51" s="2">
        <v>1</v>
      </c>
      <c r="Q51" s="2">
        <v>1</v>
      </c>
      <c r="R51" s="2">
        <v>301</v>
      </c>
      <c r="S51" s="2" t="s">
        <v>8</v>
      </c>
      <c r="T51" t="s">
        <v>44</v>
      </c>
      <c r="U51"/>
      <c r="V51"/>
      <c r="W51"/>
      <c r="X51"/>
    </row>
    <row r="52" spans="1:24" x14ac:dyDescent="0.25">
      <c r="A52">
        <v>202600703</v>
      </c>
      <c r="B52"/>
      <c r="C52" t="s">
        <v>55</v>
      </c>
      <c r="D52" s="21">
        <v>46315</v>
      </c>
      <c r="E52" t="s">
        <v>89</v>
      </c>
      <c r="F52">
        <v>43</v>
      </c>
      <c r="G52" s="1">
        <v>46314</v>
      </c>
      <c r="H52" t="s">
        <v>68</v>
      </c>
      <c r="I52" t="s">
        <v>69</v>
      </c>
      <c r="J52" s="2">
        <v>1</v>
      </c>
      <c r="K52" t="s">
        <v>28</v>
      </c>
      <c r="L52" s="2">
        <v>8</v>
      </c>
      <c r="M52" s="2">
        <v>0</v>
      </c>
      <c r="N52" s="2">
        <v>0</v>
      </c>
      <c r="O52" s="2">
        <v>9</v>
      </c>
      <c r="P52" s="2">
        <v>1</v>
      </c>
      <c r="Q52" s="2">
        <v>1</v>
      </c>
      <c r="R52" s="2">
        <v>319</v>
      </c>
      <c r="S52" s="2" t="s">
        <v>8</v>
      </c>
      <c r="T52" t="s">
        <v>41</v>
      </c>
      <c r="U52">
        <v>0.6</v>
      </c>
      <c r="V52">
        <v>0</v>
      </c>
      <c r="W52">
        <v>0</v>
      </c>
      <c r="X52">
        <v>0</v>
      </c>
    </row>
    <row r="53" spans="1:24" x14ac:dyDescent="0.25">
      <c r="A53">
        <v>202600704</v>
      </c>
      <c r="B53"/>
      <c r="C53" t="s">
        <v>55</v>
      </c>
      <c r="D53" s="21">
        <v>46315</v>
      </c>
      <c r="E53" t="s">
        <v>89</v>
      </c>
      <c r="F53">
        <v>43</v>
      </c>
      <c r="G53" s="1">
        <v>46314</v>
      </c>
      <c r="H53" t="s">
        <v>68</v>
      </c>
      <c r="I53" t="s">
        <v>69</v>
      </c>
      <c r="J53" s="2">
        <v>1</v>
      </c>
      <c r="K53" t="s">
        <v>28</v>
      </c>
      <c r="L53" s="2">
        <v>8</v>
      </c>
      <c r="M53" s="2">
        <v>0</v>
      </c>
      <c r="N53" s="2">
        <v>0</v>
      </c>
      <c r="O53" s="2">
        <v>9</v>
      </c>
      <c r="P53" s="2">
        <v>1</v>
      </c>
      <c r="Q53" s="2">
        <v>1</v>
      </c>
      <c r="R53" s="2">
        <v>322</v>
      </c>
      <c r="S53" s="2" t="s">
        <v>8</v>
      </c>
      <c r="T53" t="s">
        <v>41</v>
      </c>
      <c r="U53">
        <v>0.6</v>
      </c>
      <c r="V53">
        <v>0</v>
      </c>
      <c r="W53">
        <v>0</v>
      </c>
      <c r="X53">
        <v>0</v>
      </c>
    </row>
    <row r="54" spans="1:24" x14ac:dyDescent="0.25">
      <c r="A54">
        <v>202600703</v>
      </c>
      <c r="B54"/>
      <c r="C54" t="s">
        <v>55</v>
      </c>
      <c r="D54" s="21">
        <v>46315</v>
      </c>
      <c r="E54" t="s">
        <v>89</v>
      </c>
      <c r="F54">
        <v>43</v>
      </c>
      <c r="G54" s="1">
        <v>46314</v>
      </c>
      <c r="H54" t="s">
        <v>108</v>
      </c>
      <c r="I54" t="s">
        <v>109</v>
      </c>
      <c r="J54" s="2">
        <v>1</v>
      </c>
      <c r="K54" t="s">
        <v>28</v>
      </c>
      <c r="L54" s="2">
        <v>11</v>
      </c>
      <c r="M54" s="2">
        <v>8</v>
      </c>
      <c r="N54" s="2">
        <v>1</v>
      </c>
      <c r="O54" s="2">
        <v>5</v>
      </c>
      <c r="P54" s="2">
        <v>2</v>
      </c>
      <c r="Q54" s="2">
        <v>2</v>
      </c>
      <c r="R54" s="2">
        <v>320</v>
      </c>
      <c r="S54" s="2" t="s">
        <v>29</v>
      </c>
      <c r="T54" t="s">
        <v>41</v>
      </c>
      <c r="U54">
        <v>0.6</v>
      </c>
      <c r="V54">
        <v>0</v>
      </c>
      <c r="W54">
        <v>0</v>
      </c>
      <c r="X54">
        <v>0</v>
      </c>
    </row>
    <row r="55" spans="1:24" x14ac:dyDescent="0.25">
      <c r="A55">
        <v>202600704</v>
      </c>
      <c r="B55"/>
      <c r="C55" t="s">
        <v>55</v>
      </c>
      <c r="D55" s="21">
        <v>46315</v>
      </c>
      <c r="E55" t="s">
        <v>89</v>
      </c>
      <c r="F55">
        <v>43</v>
      </c>
      <c r="G55" s="1">
        <v>46314</v>
      </c>
      <c r="H55" t="s">
        <v>58</v>
      </c>
      <c r="I55" t="s">
        <v>59</v>
      </c>
      <c r="J55" s="2">
        <v>2</v>
      </c>
      <c r="K55" t="s">
        <v>28</v>
      </c>
      <c r="L55" s="2">
        <v>11</v>
      </c>
      <c r="M55" s="2">
        <v>0</v>
      </c>
      <c r="N55" s="2">
        <v>0</v>
      </c>
      <c r="O55" s="2">
        <v>13</v>
      </c>
      <c r="P55" s="2">
        <v>2</v>
      </c>
      <c r="Q55" s="2">
        <v>2</v>
      </c>
      <c r="R55" s="2">
        <v>321</v>
      </c>
      <c r="S55" s="2" t="s">
        <v>8</v>
      </c>
      <c r="T55" t="s">
        <v>42</v>
      </c>
      <c r="U55">
        <v>0</v>
      </c>
      <c r="V55">
        <v>4.1400000000000006</v>
      </c>
      <c r="W55">
        <v>0.36</v>
      </c>
      <c r="X55">
        <v>0</v>
      </c>
    </row>
    <row r="56" spans="1:24" x14ac:dyDescent="0.25">
      <c r="A56">
        <v>202600703</v>
      </c>
      <c r="B56"/>
      <c r="C56" t="s">
        <v>55</v>
      </c>
      <c r="D56" s="21">
        <v>46315</v>
      </c>
      <c r="E56" t="s">
        <v>89</v>
      </c>
      <c r="F56">
        <v>43</v>
      </c>
      <c r="G56" s="1">
        <v>46314</v>
      </c>
      <c r="H56" t="s">
        <v>58</v>
      </c>
      <c r="I56" t="s">
        <v>59</v>
      </c>
      <c r="J56" s="2">
        <v>1</v>
      </c>
      <c r="K56" t="s">
        <v>28</v>
      </c>
      <c r="L56" s="2">
        <v>11</v>
      </c>
      <c r="M56" s="2">
        <v>0</v>
      </c>
      <c r="N56" s="2">
        <v>0</v>
      </c>
      <c r="O56" s="2">
        <v>13</v>
      </c>
      <c r="P56" s="2">
        <v>2</v>
      </c>
      <c r="Q56" s="2">
        <v>2</v>
      </c>
      <c r="R56" s="2">
        <v>316</v>
      </c>
      <c r="S56" s="2" t="s">
        <v>8</v>
      </c>
      <c r="T56" t="s">
        <v>42</v>
      </c>
      <c r="U56">
        <v>0</v>
      </c>
      <c r="V56">
        <v>4.1400000000000006</v>
      </c>
      <c r="W56">
        <v>0.36</v>
      </c>
      <c r="X56">
        <v>0</v>
      </c>
    </row>
    <row r="57" spans="1:24" x14ac:dyDescent="0.25">
      <c r="A57">
        <v>202600703</v>
      </c>
      <c r="B57"/>
      <c r="C57" t="s">
        <v>55</v>
      </c>
      <c r="D57" s="21">
        <v>46315</v>
      </c>
      <c r="E57" t="s">
        <v>89</v>
      </c>
      <c r="F57">
        <v>43</v>
      </c>
      <c r="G57" s="1">
        <v>46314</v>
      </c>
      <c r="H57" t="s">
        <v>90</v>
      </c>
      <c r="I57" t="s">
        <v>91</v>
      </c>
      <c r="J57" s="2">
        <v>2</v>
      </c>
      <c r="K57" t="s">
        <v>28</v>
      </c>
      <c r="L57" s="2">
        <v>6</v>
      </c>
      <c r="M57" s="2">
        <v>0</v>
      </c>
      <c r="N57" s="2">
        <v>0</v>
      </c>
      <c r="O57" s="2">
        <v>8</v>
      </c>
      <c r="P57" s="2">
        <v>2</v>
      </c>
      <c r="Q57" s="2">
        <v>2</v>
      </c>
      <c r="R57" s="2">
        <v>318</v>
      </c>
      <c r="S57" s="2" t="s">
        <v>8</v>
      </c>
      <c r="T57" t="s">
        <v>92</v>
      </c>
      <c r="U57">
        <v>6.2700000000000005</v>
      </c>
      <c r="V57">
        <v>2.09</v>
      </c>
      <c r="W57">
        <v>0.66500000000000004</v>
      </c>
      <c r="X57">
        <v>0.47500000000000003</v>
      </c>
    </row>
    <row r="58" spans="1:24" x14ac:dyDescent="0.25">
      <c r="A58">
        <v>202600703</v>
      </c>
      <c r="B58"/>
      <c r="C58" t="s">
        <v>55</v>
      </c>
      <c r="D58" s="21">
        <v>46315</v>
      </c>
      <c r="E58" t="s">
        <v>89</v>
      </c>
      <c r="F58">
        <v>43</v>
      </c>
      <c r="G58" s="1">
        <v>46314</v>
      </c>
      <c r="H58" t="s">
        <v>93</v>
      </c>
      <c r="I58" t="s">
        <v>94</v>
      </c>
      <c r="J58" s="2">
        <v>1</v>
      </c>
      <c r="K58" t="s">
        <v>28</v>
      </c>
      <c r="L58" s="2">
        <v>5</v>
      </c>
      <c r="M58" s="2">
        <v>0</v>
      </c>
      <c r="N58" s="2">
        <v>0</v>
      </c>
      <c r="O58" s="2">
        <v>8</v>
      </c>
      <c r="P58" s="2">
        <v>3</v>
      </c>
      <c r="Q58" s="2">
        <v>3</v>
      </c>
      <c r="R58" s="2">
        <v>317</v>
      </c>
      <c r="S58" s="2" t="s">
        <v>8</v>
      </c>
      <c r="T58" t="s">
        <v>44</v>
      </c>
      <c r="U58">
        <v>0</v>
      </c>
      <c r="V58">
        <v>4.5</v>
      </c>
      <c r="W58">
        <v>0</v>
      </c>
      <c r="X58">
        <v>0</v>
      </c>
    </row>
    <row r="59" spans="1:24" x14ac:dyDescent="0.25">
      <c r="A59">
        <v>202600710</v>
      </c>
      <c r="B59" t="s">
        <v>268</v>
      </c>
      <c r="C59" t="s">
        <v>182</v>
      </c>
      <c r="D59" s="21">
        <v>46318</v>
      </c>
      <c r="E59" t="s">
        <v>32</v>
      </c>
      <c r="F59">
        <v>43</v>
      </c>
      <c r="G59" s="1">
        <v>46314</v>
      </c>
      <c r="H59" t="s">
        <v>74</v>
      </c>
      <c r="I59" t="s">
        <v>75</v>
      </c>
      <c r="J59" s="2">
        <v>1</v>
      </c>
      <c r="K59" t="s">
        <v>28</v>
      </c>
      <c r="L59" s="2">
        <v>42</v>
      </c>
      <c r="M59" s="2">
        <v>11</v>
      </c>
      <c r="N59" s="2">
        <v>6</v>
      </c>
      <c r="O59" s="2">
        <v>50</v>
      </c>
      <c r="P59" s="2">
        <v>-37</v>
      </c>
      <c r="Q59" s="2">
        <v>-37</v>
      </c>
      <c r="R59" s="2">
        <v>365</v>
      </c>
      <c r="S59" s="2" t="s">
        <v>22</v>
      </c>
      <c r="T59" t="s">
        <v>41</v>
      </c>
      <c r="U59">
        <v>0.6</v>
      </c>
      <c r="V59">
        <v>0</v>
      </c>
      <c r="W59">
        <v>0</v>
      </c>
      <c r="X59">
        <v>0</v>
      </c>
    </row>
    <row r="60" spans="1:24" x14ac:dyDescent="0.25">
      <c r="A60">
        <v>202600730</v>
      </c>
      <c r="B60" t="s">
        <v>269</v>
      </c>
      <c r="C60" t="s">
        <v>182</v>
      </c>
      <c r="D60" s="21">
        <v>46318</v>
      </c>
      <c r="E60" t="s">
        <v>32</v>
      </c>
      <c r="F60">
        <v>43</v>
      </c>
      <c r="G60" s="1">
        <v>46314</v>
      </c>
      <c r="H60" t="s">
        <v>74</v>
      </c>
      <c r="I60" t="s">
        <v>75</v>
      </c>
      <c r="J60" s="2">
        <v>1</v>
      </c>
      <c r="K60" t="s">
        <v>28</v>
      </c>
      <c r="L60" s="2">
        <v>42</v>
      </c>
      <c r="M60" s="2">
        <v>11</v>
      </c>
      <c r="N60" s="2">
        <v>6</v>
      </c>
      <c r="O60" s="2">
        <v>50</v>
      </c>
      <c r="P60" s="2">
        <v>-37</v>
      </c>
      <c r="Q60" s="2">
        <v>-37</v>
      </c>
      <c r="R60" s="2">
        <v>442</v>
      </c>
      <c r="S60" s="2" t="s">
        <v>22</v>
      </c>
      <c r="T60" t="s">
        <v>41</v>
      </c>
      <c r="U60">
        <v>0.6</v>
      </c>
      <c r="V60">
        <v>0</v>
      </c>
      <c r="W60">
        <v>0</v>
      </c>
      <c r="X60">
        <v>0</v>
      </c>
    </row>
    <row r="61" spans="1:24" x14ac:dyDescent="0.25">
      <c r="A61">
        <v>202600710</v>
      </c>
      <c r="B61" t="s">
        <v>268</v>
      </c>
      <c r="C61" t="s">
        <v>182</v>
      </c>
      <c r="D61" s="21">
        <v>46318</v>
      </c>
      <c r="E61" t="s">
        <v>32</v>
      </c>
      <c r="F61">
        <v>43</v>
      </c>
      <c r="G61" s="1">
        <v>46314</v>
      </c>
      <c r="H61" t="s">
        <v>30</v>
      </c>
      <c r="I61" t="s">
        <v>31</v>
      </c>
      <c r="J61" s="2">
        <v>1</v>
      </c>
      <c r="K61" t="s">
        <v>28</v>
      </c>
      <c r="L61" s="2">
        <v>37</v>
      </c>
      <c r="M61" s="2">
        <v>11</v>
      </c>
      <c r="N61" s="2">
        <v>12</v>
      </c>
      <c r="O61" s="2">
        <v>50</v>
      </c>
      <c r="P61" s="2">
        <v>22</v>
      </c>
      <c r="Q61" s="2">
        <v>22</v>
      </c>
      <c r="R61" s="2">
        <v>362</v>
      </c>
      <c r="S61" s="2" t="s">
        <v>29</v>
      </c>
      <c r="T61" t="s">
        <v>42</v>
      </c>
      <c r="U61">
        <v>0</v>
      </c>
      <c r="V61">
        <v>4.1400000000000006</v>
      </c>
      <c r="W61">
        <v>0.36</v>
      </c>
      <c r="X61">
        <v>0</v>
      </c>
    </row>
    <row r="62" spans="1:24" x14ac:dyDescent="0.25">
      <c r="A62">
        <v>202600710</v>
      </c>
      <c r="B62" t="s">
        <v>268</v>
      </c>
      <c r="C62" t="s">
        <v>182</v>
      </c>
      <c r="D62" s="21">
        <v>46318</v>
      </c>
      <c r="E62" t="s">
        <v>32</v>
      </c>
      <c r="F62">
        <v>43</v>
      </c>
      <c r="G62" s="1">
        <v>46314</v>
      </c>
      <c r="H62" t="s">
        <v>87</v>
      </c>
      <c r="I62" t="s">
        <v>88</v>
      </c>
      <c r="J62" s="2">
        <v>1</v>
      </c>
      <c r="K62" t="s">
        <v>28</v>
      </c>
      <c r="L62" s="2">
        <v>11</v>
      </c>
      <c r="M62" s="2">
        <v>3</v>
      </c>
      <c r="N62" s="2">
        <v>1</v>
      </c>
      <c r="O62" s="2">
        <v>13</v>
      </c>
      <c r="P62" s="2">
        <v>5</v>
      </c>
      <c r="Q62" s="2">
        <v>5</v>
      </c>
      <c r="R62" s="2">
        <v>363</v>
      </c>
      <c r="S62" s="2" t="s">
        <v>29</v>
      </c>
      <c r="T62" t="s">
        <v>47</v>
      </c>
      <c r="U62">
        <v>7.83</v>
      </c>
      <c r="V62">
        <v>4.4950000000000001</v>
      </c>
      <c r="W62">
        <v>0.87</v>
      </c>
      <c r="X62">
        <v>1.3049999999999999</v>
      </c>
    </row>
    <row r="63" spans="1:24" x14ac:dyDescent="0.25">
      <c r="A63">
        <v>202600730</v>
      </c>
      <c r="B63" t="s">
        <v>269</v>
      </c>
      <c r="C63" t="s">
        <v>182</v>
      </c>
      <c r="D63" s="21">
        <v>46318</v>
      </c>
      <c r="E63" t="s">
        <v>32</v>
      </c>
      <c r="F63">
        <v>43</v>
      </c>
      <c r="G63" s="1">
        <v>46314</v>
      </c>
      <c r="H63" t="s">
        <v>223</v>
      </c>
      <c r="I63" t="s">
        <v>224</v>
      </c>
      <c r="J63" s="2">
        <v>1</v>
      </c>
      <c r="K63" t="s">
        <v>28</v>
      </c>
      <c r="L63" s="2">
        <v>1</v>
      </c>
      <c r="M63" s="2">
        <v>0</v>
      </c>
      <c r="N63" s="2">
        <v>0</v>
      </c>
      <c r="O63" s="2">
        <v>2</v>
      </c>
      <c r="P63" s="2">
        <v>1</v>
      </c>
      <c r="Q63" s="2">
        <v>1</v>
      </c>
      <c r="R63" s="2">
        <v>438</v>
      </c>
      <c r="S63" s="2" t="s">
        <v>8</v>
      </c>
      <c r="T63" t="s">
        <v>47</v>
      </c>
      <c r="U63">
        <v>7.83</v>
      </c>
      <c r="V63">
        <v>4.4950000000000001</v>
      </c>
      <c r="W63">
        <v>0.87</v>
      </c>
      <c r="X63">
        <v>1.3049999999999999</v>
      </c>
    </row>
    <row r="64" spans="1:24" x14ac:dyDescent="0.25">
      <c r="A64">
        <v>202600710</v>
      </c>
      <c r="B64" t="s">
        <v>268</v>
      </c>
      <c r="C64" t="s">
        <v>182</v>
      </c>
      <c r="D64" s="21">
        <v>46318</v>
      </c>
      <c r="E64" t="s">
        <v>32</v>
      </c>
      <c r="F64">
        <v>43</v>
      </c>
      <c r="G64" s="1">
        <v>46314</v>
      </c>
      <c r="H64" t="s">
        <v>71</v>
      </c>
      <c r="I64" t="s">
        <v>72</v>
      </c>
      <c r="J64" s="2">
        <v>1</v>
      </c>
      <c r="K64" t="s">
        <v>28</v>
      </c>
      <c r="L64" s="2">
        <v>8</v>
      </c>
      <c r="M64" s="2">
        <v>1</v>
      </c>
      <c r="N64" s="2">
        <v>2</v>
      </c>
      <c r="O64" s="2">
        <v>14</v>
      </c>
      <c r="P64" s="2">
        <v>7</v>
      </c>
      <c r="Q64" s="2">
        <v>7</v>
      </c>
      <c r="R64" s="2">
        <v>364</v>
      </c>
      <c r="S64" s="2" t="s">
        <v>8</v>
      </c>
      <c r="T64" t="s">
        <v>44</v>
      </c>
      <c r="U64">
        <v>0</v>
      </c>
      <c r="V64">
        <v>4.5</v>
      </c>
      <c r="W64">
        <v>0</v>
      </c>
      <c r="X64">
        <v>0</v>
      </c>
    </row>
    <row r="65" spans="1:24" x14ac:dyDescent="0.25">
      <c r="A65">
        <v>202600730</v>
      </c>
      <c r="B65" t="s">
        <v>269</v>
      </c>
      <c r="C65" t="s">
        <v>182</v>
      </c>
      <c r="D65" s="21">
        <v>46318</v>
      </c>
      <c r="E65" t="s">
        <v>32</v>
      </c>
      <c r="F65">
        <v>43</v>
      </c>
      <c r="G65" s="1">
        <v>46314</v>
      </c>
      <c r="H65" t="s">
        <v>133</v>
      </c>
      <c r="I65" t="s">
        <v>134</v>
      </c>
      <c r="J65" s="2">
        <v>1</v>
      </c>
      <c r="K65" t="s">
        <v>28</v>
      </c>
      <c r="L65" s="2">
        <v>5</v>
      </c>
      <c r="M65" s="2">
        <v>1</v>
      </c>
      <c r="N65" s="2">
        <v>0</v>
      </c>
      <c r="O65" s="2">
        <v>5</v>
      </c>
      <c r="P65" s="2">
        <v>1</v>
      </c>
      <c r="Q65" s="2">
        <v>1</v>
      </c>
      <c r="R65" s="2">
        <v>439</v>
      </c>
      <c r="S65" s="2" t="s">
        <v>8</v>
      </c>
      <c r="T65" t="s">
        <v>44</v>
      </c>
      <c r="U65">
        <v>0</v>
      </c>
      <c r="V65">
        <v>4.5</v>
      </c>
      <c r="W65">
        <v>0</v>
      </c>
      <c r="X65">
        <v>0</v>
      </c>
    </row>
    <row r="66" spans="1:24" x14ac:dyDescent="0.25">
      <c r="A66">
        <v>202600678</v>
      </c>
      <c r="B66"/>
      <c r="C66" t="s">
        <v>173</v>
      </c>
      <c r="D66" s="21">
        <v>46318</v>
      </c>
      <c r="E66" t="s">
        <v>32</v>
      </c>
      <c r="F66">
        <v>43</v>
      </c>
      <c r="G66" s="1">
        <v>46314</v>
      </c>
      <c r="H66" t="s">
        <v>68</v>
      </c>
      <c r="I66" t="s">
        <v>69</v>
      </c>
      <c r="J66" s="2">
        <v>1</v>
      </c>
      <c r="K66" t="s">
        <v>28</v>
      </c>
      <c r="L66" s="2">
        <v>8</v>
      </c>
      <c r="M66" s="2">
        <v>0</v>
      </c>
      <c r="N66" s="2">
        <v>0</v>
      </c>
      <c r="O66" s="2">
        <v>9</v>
      </c>
      <c r="P66" s="2">
        <v>1</v>
      </c>
      <c r="Q66" s="2">
        <v>1</v>
      </c>
      <c r="R66" s="2">
        <v>257</v>
      </c>
      <c r="S66" s="2" t="s">
        <v>8</v>
      </c>
      <c r="T66" t="s">
        <v>41</v>
      </c>
      <c r="U66">
        <v>0.6</v>
      </c>
      <c r="V66">
        <v>0</v>
      </c>
      <c r="W66">
        <v>0</v>
      </c>
      <c r="X66">
        <v>0</v>
      </c>
    </row>
    <row r="67" spans="1:24" x14ac:dyDescent="0.25">
      <c r="A67">
        <v>202600678</v>
      </c>
      <c r="B67"/>
      <c r="C67" t="s">
        <v>173</v>
      </c>
      <c r="D67" s="21">
        <v>46318</v>
      </c>
      <c r="E67" t="s">
        <v>32</v>
      </c>
      <c r="F67">
        <v>43</v>
      </c>
      <c r="G67" s="1">
        <v>46314</v>
      </c>
      <c r="H67" t="s">
        <v>233</v>
      </c>
      <c r="I67" t="s">
        <v>234</v>
      </c>
      <c r="J67" s="2">
        <v>1</v>
      </c>
      <c r="K67" t="s">
        <v>28</v>
      </c>
      <c r="L67" s="2">
        <v>11</v>
      </c>
      <c r="M67" s="2">
        <v>8</v>
      </c>
      <c r="N67" s="2">
        <v>5</v>
      </c>
      <c r="O67" s="2">
        <v>2</v>
      </c>
      <c r="P67" s="2">
        <v>-1</v>
      </c>
      <c r="Q67" s="2">
        <v>-1</v>
      </c>
      <c r="R67" s="2">
        <v>259</v>
      </c>
      <c r="S67" s="2" t="s">
        <v>22</v>
      </c>
      <c r="T67"/>
      <c r="U67"/>
      <c r="V67"/>
      <c r="W67"/>
      <c r="X67"/>
    </row>
    <row r="68" spans="1:24" x14ac:dyDescent="0.25">
      <c r="A68">
        <v>202600678</v>
      </c>
      <c r="B68"/>
      <c r="C68" t="s">
        <v>173</v>
      </c>
      <c r="D68" s="21">
        <v>46318</v>
      </c>
      <c r="E68" t="s">
        <v>32</v>
      </c>
      <c r="F68">
        <v>43</v>
      </c>
      <c r="G68" s="1">
        <v>46314</v>
      </c>
      <c r="H68" t="s">
        <v>30</v>
      </c>
      <c r="I68" t="s">
        <v>31</v>
      </c>
      <c r="J68" s="2">
        <v>1</v>
      </c>
      <c r="K68" t="s">
        <v>28</v>
      </c>
      <c r="L68" s="2">
        <v>37</v>
      </c>
      <c r="M68" s="2">
        <v>11</v>
      </c>
      <c r="N68" s="2">
        <v>12</v>
      </c>
      <c r="O68" s="2">
        <v>50</v>
      </c>
      <c r="P68" s="2">
        <v>22</v>
      </c>
      <c r="Q68" s="2">
        <v>22</v>
      </c>
      <c r="R68" s="2">
        <v>254</v>
      </c>
      <c r="S68" s="2" t="s">
        <v>29</v>
      </c>
      <c r="T68" t="s">
        <v>42</v>
      </c>
      <c r="U68">
        <v>0</v>
      </c>
      <c r="V68">
        <v>4.1400000000000006</v>
      </c>
      <c r="W68">
        <v>0.36</v>
      </c>
      <c r="X68">
        <v>0</v>
      </c>
    </row>
    <row r="69" spans="1:24" x14ac:dyDescent="0.25">
      <c r="A69">
        <v>202600678</v>
      </c>
      <c r="B69"/>
      <c r="C69" t="s">
        <v>173</v>
      </c>
      <c r="D69" s="21">
        <v>46318</v>
      </c>
      <c r="E69" t="s">
        <v>32</v>
      </c>
      <c r="F69">
        <v>43</v>
      </c>
      <c r="G69" s="1">
        <v>46314</v>
      </c>
      <c r="H69" t="s">
        <v>96</v>
      </c>
      <c r="I69" t="s">
        <v>97</v>
      </c>
      <c r="J69" s="2">
        <v>2</v>
      </c>
      <c r="K69" t="s">
        <v>28</v>
      </c>
      <c r="L69" s="2">
        <v>4</v>
      </c>
      <c r="M69" s="2">
        <v>1</v>
      </c>
      <c r="N69" s="2">
        <v>3</v>
      </c>
      <c r="O69" s="2">
        <v>0</v>
      </c>
      <c r="P69" s="2">
        <v>-3</v>
      </c>
      <c r="Q69" s="2">
        <v>-3</v>
      </c>
      <c r="R69" s="2">
        <v>255</v>
      </c>
      <c r="S69" s="2" t="s">
        <v>22</v>
      </c>
      <c r="T69" t="s">
        <v>47</v>
      </c>
      <c r="U69">
        <v>7.83</v>
      </c>
      <c r="V69">
        <v>4.4950000000000001</v>
      </c>
      <c r="W69">
        <v>0.87</v>
      </c>
      <c r="X69">
        <v>1.3049999999999999</v>
      </c>
    </row>
    <row r="70" spans="1:24" x14ac:dyDescent="0.25">
      <c r="A70">
        <v>202600678</v>
      </c>
      <c r="B70"/>
      <c r="C70" t="s">
        <v>173</v>
      </c>
      <c r="D70" s="21">
        <v>46318</v>
      </c>
      <c r="E70" t="s">
        <v>32</v>
      </c>
      <c r="F70">
        <v>43</v>
      </c>
      <c r="G70" s="1">
        <v>46314</v>
      </c>
      <c r="H70" t="s">
        <v>64</v>
      </c>
      <c r="I70" t="s">
        <v>65</v>
      </c>
      <c r="J70" s="2">
        <v>1</v>
      </c>
      <c r="K70" t="s">
        <v>28</v>
      </c>
      <c r="L70" s="2">
        <v>8</v>
      </c>
      <c r="M70" s="2">
        <v>0</v>
      </c>
      <c r="N70" s="2">
        <v>2</v>
      </c>
      <c r="O70" s="2">
        <v>12</v>
      </c>
      <c r="P70" s="2">
        <v>4</v>
      </c>
      <c r="Q70" s="2">
        <v>4</v>
      </c>
      <c r="R70" s="2">
        <v>256</v>
      </c>
      <c r="S70" s="2" t="s">
        <v>8</v>
      </c>
      <c r="T70" t="s">
        <v>44</v>
      </c>
      <c r="U70">
        <v>0</v>
      </c>
      <c r="V70">
        <v>4.5</v>
      </c>
      <c r="W70">
        <v>0</v>
      </c>
      <c r="X70">
        <v>0</v>
      </c>
    </row>
    <row r="71" spans="1:24" x14ac:dyDescent="0.25">
      <c r="A71">
        <v>202600725</v>
      </c>
      <c r="B71"/>
      <c r="C71" t="s">
        <v>55</v>
      </c>
      <c r="D71" s="21">
        <v>46318</v>
      </c>
      <c r="E71" t="s">
        <v>32</v>
      </c>
      <c r="F71">
        <v>43</v>
      </c>
      <c r="G71" s="1">
        <v>46314</v>
      </c>
      <c r="H71" t="s">
        <v>68</v>
      </c>
      <c r="I71" t="s">
        <v>69</v>
      </c>
      <c r="J71" s="2">
        <v>2</v>
      </c>
      <c r="K71" t="s">
        <v>28</v>
      </c>
      <c r="L71" s="2">
        <v>8</v>
      </c>
      <c r="M71" s="2">
        <v>0</v>
      </c>
      <c r="N71" s="2">
        <v>0</v>
      </c>
      <c r="O71" s="2">
        <v>9</v>
      </c>
      <c r="P71" s="2">
        <v>1</v>
      </c>
      <c r="Q71" s="2">
        <v>1</v>
      </c>
      <c r="R71" s="2">
        <v>423</v>
      </c>
      <c r="S71" s="2" t="s">
        <v>8</v>
      </c>
      <c r="T71" t="s">
        <v>41</v>
      </c>
      <c r="U71">
        <v>0.6</v>
      </c>
      <c r="V71">
        <v>0</v>
      </c>
      <c r="W71">
        <v>0</v>
      </c>
      <c r="X71">
        <v>0</v>
      </c>
    </row>
    <row r="72" spans="1:24" x14ac:dyDescent="0.25">
      <c r="A72">
        <v>202600725</v>
      </c>
      <c r="B72"/>
      <c r="C72" t="s">
        <v>55</v>
      </c>
      <c r="D72" s="21">
        <v>46318</v>
      </c>
      <c r="E72" t="s">
        <v>32</v>
      </c>
      <c r="F72">
        <v>43</v>
      </c>
      <c r="G72" s="1">
        <v>46314</v>
      </c>
      <c r="H72" t="s">
        <v>74</v>
      </c>
      <c r="I72" t="s">
        <v>75</v>
      </c>
      <c r="J72" s="2">
        <v>1</v>
      </c>
      <c r="K72" t="s">
        <v>28</v>
      </c>
      <c r="L72" s="2">
        <v>42</v>
      </c>
      <c r="M72" s="2">
        <v>11</v>
      </c>
      <c r="N72" s="2">
        <v>6</v>
      </c>
      <c r="O72" s="2">
        <v>50</v>
      </c>
      <c r="P72" s="2">
        <v>-37</v>
      </c>
      <c r="Q72" s="2">
        <v>-37</v>
      </c>
      <c r="R72" s="2">
        <v>432</v>
      </c>
      <c r="S72" s="2" t="s">
        <v>22</v>
      </c>
      <c r="T72" t="s">
        <v>41</v>
      </c>
      <c r="U72">
        <v>0.6</v>
      </c>
      <c r="V72">
        <v>0</v>
      </c>
      <c r="W72">
        <v>0</v>
      </c>
      <c r="X72">
        <v>0</v>
      </c>
    </row>
    <row r="73" spans="1:24" x14ac:dyDescent="0.25">
      <c r="A73">
        <v>202600725</v>
      </c>
      <c r="B73"/>
      <c r="C73" t="s">
        <v>55</v>
      </c>
      <c r="D73" s="21">
        <v>46318</v>
      </c>
      <c r="E73" t="s">
        <v>32</v>
      </c>
      <c r="F73">
        <v>43</v>
      </c>
      <c r="G73" s="1">
        <v>46314</v>
      </c>
      <c r="H73" t="s">
        <v>108</v>
      </c>
      <c r="I73" t="s">
        <v>109</v>
      </c>
      <c r="J73" s="2">
        <v>2</v>
      </c>
      <c r="K73" t="s">
        <v>28</v>
      </c>
      <c r="L73" s="2">
        <v>11</v>
      </c>
      <c r="M73" s="2">
        <v>8</v>
      </c>
      <c r="N73" s="2">
        <v>1</v>
      </c>
      <c r="O73" s="2">
        <v>5</v>
      </c>
      <c r="P73" s="2">
        <v>2</v>
      </c>
      <c r="Q73" s="2">
        <v>2</v>
      </c>
      <c r="R73" s="2">
        <v>425</v>
      </c>
      <c r="S73" s="2" t="s">
        <v>29</v>
      </c>
      <c r="T73" t="s">
        <v>41</v>
      </c>
      <c r="U73">
        <v>0.6</v>
      </c>
      <c r="V73">
        <v>0</v>
      </c>
      <c r="W73">
        <v>0</v>
      </c>
      <c r="X73">
        <v>0</v>
      </c>
    </row>
    <row r="74" spans="1:24" x14ac:dyDescent="0.25">
      <c r="A74">
        <v>202600725</v>
      </c>
      <c r="B74"/>
      <c r="C74" t="s">
        <v>55</v>
      </c>
      <c r="D74" s="21">
        <v>46318</v>
      </c>
      <c r="E74" t="s">
        <v>32</v>
      </c>
      <c r="F74">
        <v>43</v>
      </c>
      <c r="G74" s="1">
        <v>46314</v>
      </c>
      <c r="H74" t="s">
        <v>58</v>
      </c>
      <c r="I74" t="s">
        <v>59</v>
      </c>
      <c r="J74" s="2">
        <v>3</v>
      </c>
      <c r="K74" t="s">
        <v>28</v>
      </c>
      <c r="L74" s="2">
        <v>11</v>
      </c>
      <c r="M74" s="2">
        <v>0</v>
      </c>
      <c r="N74" s="2">
        <v>0</v>
      </c>
      <c r="O74" s="2">
        <v>13</v>
      </c>
      <c r="P74" s="2">
        <v>2</v>
      </c>
      <c r="Q74" s="2">
        <v>2</v>
      </c>
      <c r="R74" s="2">
        <v>424</v>
      </c>
      <c r="S74" s="2" t="s">
        <v>8</v>
      </c>
      <c r="T74" t="s">
        <v>42</v>
      </c>
      <c r="U74">
        <v>0</v>
      </c>
      <c r="V74">
        <v>4.1400000000000006</v>
      </c>
      <c r="W74">
        <v>0.36</v>
      </c>
      <c r="X74">
        <v>0</v>
      </c>
    </row>
    <row r="75" spans="1:24" x14ac:dyDescent="0.25">
      <c r="A75">
        <v>202600725</v>
      </c>
      <c r="B75"/>
      <c r="C75" t="s">
        <v>55</v>
      </c>
      <c r="D75" s="21">
        <v>46318</v>
      </c>
      <c r="E75" t="s">
        <v>32</v>
      </c>
      <c r="F75">
        <v>43</v>
      </c>
      <c r="G75" s="1">
        <v>46314</v>
      </c>
      <c r="H75" t="s">
        <v>90</v>
      </c>
      <c r="I75" t="s">
        <v>91</v>
      </c>
      <c r="J75" s="2">
        <v>2</v>
      </c>
      <c r="K75" t="s">
        <v>28</v>
      </c>
      <c r="L75" s="2">
        <v>6</v>
      </c>
      <c r="M75" s="2">
        <v>0</v>
      </c>
      <c r="N75" s="2">
        <v>0</v>
      </c>
      <c r="O75" s="2">
        <v>8</v>
      </c>
      <c r="P75" s="2">
        <v>2</v>
      </c>
      <c r="Q75" s="2">
        <v>2</v>
      </c>
      <c r="R75" s="2">
        <v>426</v>
      </c>
      <c r="S75" s="2" t="s">
        <v>8</v>
      </c>
      <c r="T75" t="s">
        <v>92</v>
      </c>
      <c r="U75">
        <v>6.2700000000000005</v>
      </c>
      <c r="V75">
        <v>2.09</v>
      </c>
      <c r="W75">
        <v>0.66500000000000004</v>
      </c>
      <c r="X75">
        <v>0.47500000000000003</v>
      </c>
    </row>
    <row r="76" spans="1:24" x14ac:dyDescent="0.25">
      <c r="A76">
        <v>202600725</v>
      </c>
      <c r="B76"/>
      <c r="C76" t="s">
        <v>55</v>
      </c>
      <c r="D76" s="21">
        <v>46318</v>
      </c>
      <c r="E76" t="s">
        <v>32</v>
      </c>
      <c r="F76">
        <v>43</v>
      </c>
      <c r="G76" s="1">
        <v>46314</v>
      </c>
      <c r="H76" t="s">
        <v>60</v>
      </c>
      <c r="I76" t="s">
        <v>61</v>
      </c>
      <c r="J76" s="2">
        <v>2</v>
      </c>
      <c r="K76" t="s">
        <v>28</v>
      </c>
      <c r="L76" s="2">
        <v>6</v>
      </c>
      <c r="M76" s="2">
        <v>0</v>
      </c>
      <c r="N76" s="2">
        <v>0</v>
      </c>
      <c r="O76" s="2">
        <v>10</v>
      </c>
      <c r="P76" s="2">
        <v>4</v>
      </c>
      <c r="Q76" s="2">
        <v>4</v>
      </c>
      <c r="R76" s="2">
        <v>429</v>
      </c>
      <c r="S76" s="2" t="s">
        <v>8</v>
      </c>
      <c r="T76" t="s">
        <v>47</v>
      </c>
      <c r="U76">
        <v>7.83</v>
      </c>
      <c r="V76">
        <v>4.4950000000000001</v>
      </c>
      <c r="W76">
        <v>0.87</v>
      </c>
      <c r="X76">
        <v>1.3049999999999999</v>
      </c>
    </row>
    <row r="77" spans="1:24" x14ac:dyDescent="0.25">
      <c r="A77">
        <v>202600725</v>
      </c>
      <c r="B77"/>
      <c r="C77" t="s">
        <v>55</v>
      </c>
      <c r="D77" s="21">
        <v>46318</v>
      </c>
      <c r="E77" t="s">
        <v>32</v>
      </c>
      <c r="F77">
        <v>43</v>
      </c>
      <c r="G77" s="1">
        <v>46314</v>
      </c>
      <c r="H77" t="s">
        <v>62</v>
      </c>
      <c r="I77" t="s">
        <v>63</v>
      </c>
      <c r="J77" s="2">
        <v>2</v>
      </c>
      <c r="K77" t="s">
        <v>28</v>
      </c>
      <c r="L77" s="2">
        <v>8</v>
      </c>
      <c r="M77" s="2">
        <v>0</v>
      </c>
      <c r="N77" s="2">
        <v>0</v>
      </c>
      <c r="O77" s="2">
        <v>14</v>
      </c>
      <c r="P77" s="2">
        <v>6</v>
      </c>
      <c r="Q77" s="2">
        <v>6</v>
      </c>
      <c r="R77" s="2">
        <v>430</v>
      </c>
      <c r="S77" s="2" t="s">
        <v>8</v>
      </c>
      <c r="T77" t="s">
        <v>47</v>
      </c>
      <c r="U77">
        <v>7.83</v>
      </c>
      <c r="V77">
        <v>4.4950000000000001</v>
      </c>
      <c r="W77">
        <v>0.87</v>
      </c>
      <c r="X77">
        <v>1.3049999999999999</v>
      </c>
    </row>
    <row r="78" spans="1:24" x14ac:dyDescent="0.25">
      <c r="A78">
        <v>202600725</v>
      </c>
      <c r="B78"/>
      <c r="C78" t="s">
        <v>55</v>
      </c>
      <c r="D78" s="21">
        <v>46318</v>
      </c>
      <c r="E78" t="s">
        <v>32</v>
      </c>
      <c r="F78">
        <v>43</v>
      </c>
      <c r="G78" s="1">
        <v>46314</v>
      </c>
      <c r="H78" t="s">
        <v>93</v>
      </c>
      <c r="I78" t="s">
        <v>94</v>
      </c>
      <c r="J78" s="2">
        <v>2</v>
      </c>
      <c r="K78" t="s">
        <v>28</v>
      </c>
      <c r="L78" s="2">
        <v>5</v>
      </c>
      <c r="M78" s="2">
        <v>0</v>
      </c>
      <c r="N78" s="2">
        <v>0</v>
      </c>
      <c r="O78" s="2">
        <v>8</v>
      </c>
      <c r="P78" s="2">
        <v>3</v>
      </c>
      <c r="Q78" s="2">
        <v>3</v>
      </c>
      <c r="R78" s="2">
        <v>427</v>
      </c>
      <c r="S78" s="2" t="s">
        <v>8</v>
      </c>
      <c r="T78" t="s">
        <v>44</v>
      </c>
      <c r="U78">
        <v>0</v>
      </c>
      <c r="V78">
        <v>4.5</v>
      </c>
      <c r="W78">
        <v>0</v>
      </c>
      <c r="X78">
        <v>0</v>
      </c>
    </row>
    <row r="79" spans="1:24" x14ac:dyDescent="0.25">
      <c r="A79">
        <v>202600725</v>
      </c>
      <c r="B79"/>
      <c r="C79" t="s">
        <v>55</v>
      </c>
      <c r="D79" s="21">
        <v>46318</v>
      </c>
      <c r="E79" t="s">
        <v>32</v>
      </c>
      <c r="F79">
        <v>43</v>
      </c>
      <c r="G79" s="1">
        <v>46314</v>
      </c>
      <c r="H79" t="s">
        <v>130</v>
      </c>
      <c r="I79" t="s">
        <v>131</v>
      </c>
      <c r="J79" s="2">
        <v>1</v>
      </c>
      <c r="K79" t="s">
        <v>28</v>
      </c>
      <c r="L79" s="2">
        <v>2</v>
      </c>
      <c r="M79" s="2">
        <v>3</v>
      </c>
      <c r="N79" s="2">
        <v>0</v>
      </c>
      <c r="O79" s="2">
        <v>0</v>
      </c>
      <c r="P79" s="2">
        <v>1</v>
      </c>
      <c r="Q79" s="2">
        <v>1</v>
      </c>
      <c r="R79" s="2">
        <v>431</v>
      </c>
      <c r="S79" s="2" t="s">
        <v>9</v>
      </c>
      <c r="T79" t="s">
        <v>44</v>
      </c>
      <c r="U79">
        <v>0</v>
      </c>
      <c r="V79">
        <v>4.5</v>
      </c>
      <c r="W79">
        <v>0</v>
      </c>
      <c r="X79">
        <v>0</v>
      </c>
    </row>
    <row r="80" spans="1:24" x14ac:dyDescent="0.25">
      <c r="A80">
        <v>202600725</v>
      </c>
      <c r="B80"/>
      <c r="C80" t="s">
        <v>55</v>
      </c>
      <c r="D80" s="21">
        <v>46318</v>
      </c>
      <c r="E80" t="s">
        <v>32</v>
      </c>
      <c r="F80">
        <v>43</v>
      </c>
      <c r="G80" s="1">
        <v>46314</v>
      </c>
      <c r="H80" t="s">
        <v>64</v>
      </c>
      <c r="I80" t="s">
        <v>65</v>
      </c>
      <c r="J80" s="2">
        <v>2</v>
      </c>
      <c r="K80" t="s">
        <v>28</v>
      </c>
      <c r="L80" s="2">
        <v>8</v>
      </c>
      <c r="M80" s="2">
        <v>0</v>
      </c>
      <c r="N80" s="2">
        <v>2</v>
      </c>
      <c r="O80" s="2">
        <v>12</v>
      </c>
      <c r="P80" s="2">
        <v>4</v>
      </c>
      <c r="Q80" s="2">
        <v>4</v>
      </c>
      <c r="R80" s="2">
        <v>428</v>
      </c>
      <c r="S80" s="2" t="s">
        <v>8</v>
      </c>
      <c r="T80" t="s">
        <v>44</v>
      </c>
      <c r="U80">
        <v>0</v>
      </c>
      <c r="V80">
        <v>4.5</v>
      </c>
      <c r="W80">
        <v>0</v>
      </c>
      <c r="X80">
        <v>0</v>
      </c>
    </row>
    <row r="81" spans="1:24" x14ac:dyDescent="0.25">
      <c r="A81">
        <v>202600728</v>
      </c>
      <c r="B81"/>
      <c r="C81" t="s">
        <v>244</v>
      </c>
      <c r="D81" s="21">
        <v>46321</v>
      </c>
      <c r="E81" t="s">
        <v>27</v>
      </c>
      <c r="F81">
        <v>44</v>
      </c>
      <c r="G81" s="1">
        <v>46321</v>
      </c>
      <c r="H81" t="s">
        <v>139</v>
      </c>
      <c r="I81" t="s">
        <v>140</v>
      </c>
      <c r="J81" s="2">
        <v>1</v>
      </c>
      <c r="K81" t="s">
        <v>28</v>
      </c>
      <c r="L81" s="2">
        <v>2</v>
      </c>
      <c r="M81" s="2">
        <v>0</v>
      </c>
      <c r="N81" s="2">
        <v>2</v>
      </c>
      <c r="O81" s="2">
        <v>2</v>
      </c>
      <c r="P81" s="2">
        <v>0</v>
      </c>
      <c r="Q81" s="2">
        <v>0</v>
      </c>
      <c r="R81" s="2">
        <v>436</v>
      </c>
      <c r="S81" s="2" t="s">
        <v>8</v>
      </c>
      <c r="T81" t="s">
        <v>92</v>
      </c>
      <c r="U81">
        <v>6.2700000000000005</v>
      </c>
      <c r="V81">
        <v>2.09</v>
      </c>
      <c r="W81">
        <v>0.66500000000000004</v>
      </c>
      <c r="X81">
        <v>0.47500000000000003</v>
      </c>
    </row>
    <row r="82" spans="1:24" x14ac:dyDescent="0.25">
      <c r="A82">
        <v>202600684</v>
      </c>
      <c r="B82" t="s">
        <v>245</v>
      </c>
      <c r="C82" t="s">
        <v>23</v>
      </c>
      <c r="D82" s="21">
        <v>46323</v>
      </c>
      <c r="E82" t="s">
        <v>151</v>
      </c>
      <c r="F82">
        <v>44</v>
      </c>
      <c r="G82" s="1">
        <v>46321</v>
      </c>
      <c r="H82" t="s">
        <v>74</v>
      </c>
      <c r="I82" t="s">
        <v>75</v>
      </c>
      <c r="J82" s="2">
        <v>1</v>
      </c>
      <c r="K82" t="s">
        <v>28</v>
      </c>
      <c r="L82" s="2">
        <v>42</v>
      </c>
      <c r="M82" s="2">
        <v>11</v>
      </c>
      <c r="N82" s="2">
        <v>6</v>
      </c>
      <c r="O82" s="2">
        <v>50</v>
      </c>
      <c r="P82" s="2">
        <v>-37</v>
      </c>
      <c r="Q82" s="2">
        <v>-37</v>
      </c>
      <c r="R82" s="2">
        <v>281</v>
      </c>
      <c r="S82" s="2" t="s">
        <v>22</v>
      </c>
      <c r="T82" t="s">
        <v>41</v>
      </c>
      <c r="U82">
        <v>0.6</v>
      </c>
      <c r="V82">
        <v>0</v>
      </c>
      <c r="W82">
        <v>0</v>
      </c>
      <c r="X82">
        <v>0</v>
      </c>
    </row>
    <row r="83" spans="1:24" x14ac:dyDescent="0.25">
      <c r="A83">
        <v>202600684</v>
      </c>
      <c r="B83" t="s">
        <v>245</v>
      </c>
      <c r="C83" t="s">
        <v>23</v>
      </c>
      <c r="D83" s="21">
        <v>46323</v>
      </c>
      <c r="E83" t="s">
        <v>151</v>
      </c>
      <c r="F83">
        <v>44</v>
      </c>
      <c r="G83" s="1">
        <v>46321</v>
      </c>
      <c r="H83" t="s">
        <v>100</v>
      </c>
      <c r="I83" t="s">
        <v>101</v>
      </c>
      <c r="J83" s="2">
        <v>1</v>
      </c>
      <c r="K83" t="s">
        <v>28</v>
      </c>
      <c r="L83" s="2">
        <v>4</v>
      </c>
      <c r="M83" s="2">
        <v>8</v>
      </c>
      <c r="N83" s="2">
        <v>3</v>
      </c>
      <c r="O83" s="2">
        <v>8</v>
      </c>
      <c r="P83" s="2">
        <v>12</v>
      </c>
      <c r="Q83" s="2">
        <v>12</v>
      </c>
      <c r="R83" s="2">
        <v>267</v>
      </c>
      <c r="S83" s="2" t="s">
        <v>9</v>
      </c>
      <c r="T83" t="s">
        <v>41</v>
      </c>
      <c r="U83">
        <v>0.6</v>
      </c>
      <c r="V83">
        <v>0</v>
      </c>
      <c r="W83">
        <v>0</v>
      </c>
      <c r="X83">
        <v>0</v>
      </c>
    </row>
    <row r="84" spans="1:24" x14ac:dyDescent="0.25">
      <c r="A84">
        <v>202600684</v>
      </c>
      <c r="B84" t="s">
        <v>245</v>
      </c>
      <c r="C84" t="s">
        <v>23</v>
      </c>
      <c r="D84" s="21">
        <v>46323</v>
      </c>
      <c r="E84" t="s">
        <v>151</v>
      </c>
      <c r="F84">
        <v>44</v>
      </c>
      <c r="G84" s="1">
        <v>46321</v>
      </c>
      <c r="H84" t="s">
        <v>100</v>
      </c>
      <c r="I84" t="s">
        <v>101</v>
      </c>
      <c r="J84" s="2">
        <v>1</v>
      </c>
      <c r="K84" t="s">
        <v>28</v>
      </c>
      <c r="L84" s="2">
        <v>4</v>
      </c>
      <c r="M84" s="2">
        <v>8</v>
      </c>
      <c r="N84" s="2">
        <v>3</v>
      </c>
      <c r="O84" s="2">
        <v>8</v>
      </c>
      <c r="P84" s="2">
        <v>12</v>
      </c>
      <c r="Q84" s="2">
        <v>12</v>
      </c>
      <c r="R84" s="2">
        <v>274</v>
      </c>
      <c r="S84" s="2" t="s">
        <v>9</v>
      </c>
      <c r="T84" t="s">
        <v>41</v>
      </c>
      <c r="U84">
        <v>0.6</v>
      </c>
      <c r="V84">
        <v>0</v>
      </c>
      <c r="W84">
        <v>0</v>
      </c>
      <c r="X84">
        <v>0</v>
      </c>
    </row>
    <row r="85" spans="1:24" x14ac:dyDescent="0.25">
      <c r="A85">
        <v>202600684</v>
      </c>
      <c r="B85" t="s">
        <v>245</v>
      </c>
      <c r="C85" t="s">
        <v>23</v>
      </c>
      <c r="D85" s="21">
        <v>46323</v>
      </c>
      <c r="E85" t="s">
        <v>151</v>
      </c>
      <c r="F85">
        <v>44</v>
      </c>
      <c r="G85" s="1">
        <v>46321</v>
      </c>
      <c r="H85" t="s">
        <v>30</v>
      </c>
      <c r="I85" t="s">
        <v>31</v>
      </c>
      <c r="J85" s="2">
        <v>1</v>
      </c>
      <c r="K85" t="s">
        <v>28</v>
      </c>
      <c r="L85" s="2">
        <v>37</v>
      </c>
      <c r="M85" s="2">
        <v>11</v>
      </c>
      <c r="N85" s="2">
        <v>12</v>
      </c>
      <c r="O85" s="2">
        <v>50</v>
      </c>
      <c r="P85" s="2">
        <v>22</v>
      </c>
      <c r="Q85" s="2">
        <v>22</v>
      </c>
      <c r="R85" s="2">
        <v>271</v>
      </c>
      <c r="S85" s="2" t="s">
        <v>29</v>
      </c>
      <c r="T85" t="s">
        <v>42</v>
      </c>
      <c r="U85">
        <v>0</v>
      </c>
      <c r="V85">
        <v>4.1400000000000006</v>
      </c>
      <c r="W85">
        <v>0.36</v>
      </c>
      <c r="X85">
        <v>0</v>
      </c>
    </row>
    <row r="86" spans="1:24" x14ac:dyDescent="0.25">
      <c r="A86">
        <v>202600684</v>
      </c>
      <c r="B86" t="s">
        <v>245</v>
      </c>
      <c r="C86" t="s">
        <v>23</v>
      </c>
      <c r="D86" s="21">
        <v>46323</v>
      </c>
      <c r="E86" t="s">
        <v>151</v>
      </c>
      <c r="F86">
        <v>44</v>
      </c>
      <c r="G86" s="1">
        <v>46321</v>
      </c>
      <c r="H86" t="s">
        <v>30</v>
      </c>
      <c r="I86" t="s">
        <v>31</v>
      </c>
      <c r="J86" s="2">
        <v>1</v>
      </c>
      <c r="K86" t="s">
        <v>28</v>
      </c>
      <c r="L86" s="2">
        <v>37</v>
      </c>
      <c r="M86" s="2">
        <v>11</v>
      </c>
      <c r="N86" s="2">
        <v>12</v>
      </c>
      <c r="O86" s="2">
        <v>50</v>
      </c>
      <c r="P86" s="2">
        <v>22</v>
      </c>
      <c r="Q86" s="2">
        <v>22</v>
      </c>
      <c r="R86" s="2">
        <v>264</v>
      </c>
      <c r="S86" s="2" t="s">
        <v>29</v>
      </c>
      <c r="T86" t="s">
        <v>42</v>
      </c>
      <c r="U86">
        <v>0</v>
      </c>
      <c r="V86">
        <v>4.1400000000000006</v>
      </c>
      <c r="W86">
        <v>0.36</v>
      </c>
      <c r="X86">
        <v>0</v>
      </c>
    </row>
    <row r="87" spans="1:24" x14ac:dyDescent="0.25">
      <c r="A87">
        <v>202600684</v>
      </c>
      <c r="B87" t="s">
        <v>245</v>
      </c>
      <c r="C87" t="s">
        <v>23</v>
      </c>
      <c r="D87" s="21">
        <v>46323</v>
      </c>
      <c r="E87" t="s">
        <v>151</v>
      </c>
      <c r="F87">
        <v>44</v>
      </c>
      <c r="G87" s="1">
        <v>46321</v>
      </c>
      <c r="H87" t="s">
        <v>246</v>
      </c>
      <c r="I87" t="s">
        <v>247</v>
      </c>
      <c r="J87" s="2">
        <v>1</v>
      </c>
      <c r="K87" t="s">
        <v>28</v>
      </c>
      <c r="L87" s="2">
        <v>1</v>
      </c>
      <c r="M87" s="2">
        <v>0</v>
      </c>
      <c r="N87" s="2">
        <v>0</v>
      </c>
      <c r="O87" s="2">
        <v>1</v>
      </c>
      <c r="P87" s="2">
        <v>0</v>
      </c>
      <c r="Q87" s="2">
        <v>0</v>
      </c>
      <c r="R87" s="2">
        <v>279</v>
      </c>
      <c r="S87" s="2" t="s">
        <v>8</v>
      </c>
      <c r="T87" t="s">
        <v>47</v>
      </c>
      <c r="U87">
        <v>7.83</v>
      </c>
      <c r="V87">
        <v>4.4950000000000001</v>
      </c>
      <c r="W87">
        <v>0.87</v>
      </c>
      <c r="X87">
        <v>1.3049999999999999</v>
      </c>
    </row>
    <row r="88" spans="1:24" x14ac:dyDescent="0.25">
      <c r="A88">
        <v>202600684</v>
      </c>
      <c r="B88" t="s">
        <v>245</v>
      </c>
      <c r="C88" t="s">
        <v>23</v>
      </c>
      <c r="D88" s="21">
        <v>46323</v>
      </c>
      <c r="E88" t="s">
        <v>151</v>
      </c>
      <c r="F88">
        <v>44</v>
      </c>
      <c r="G88" s="1">
        <v>46321</v>
      </c>
      <c r="H88" t="s">
        <v>248</v>
      </c>
      <c r="I88" t="s">
        <v>249</v>
      </c>
      <c r="J88" s="2">
        <v>1</v>
      </c>
      <c r="K88" t="s">
        <v>28</v>
      </c>
      <c r="L88" s="2">
        <v>2</v>
      </c>
      <c r="M88" s="2">
        <v>0</v>
      </c>
      <c r="N88" s="2">
        <v>0</v>
      </c>
      <c r="O88" s="2">
        <v>2</v>
      </c>
      <c r="P88" s="2">
        <v>0</v>
      </c>
      <c r="Q88" s="2">
        <v>0</v>
      </c>
      <c r="R88" s="2">
        <v>265</v>
      </c>
      <c r="S88" s="2" t="s">
        <v>8</v>
      </c>
      <c r="T88" t="s">
        <v>47</v>
      </c>
      <c r="U88">
        <v>7.83</v>
      </c>
      <c r="V88">
        <v>4.4950000000000001</v>
      </c>
      <c r="W88">
        <v>0.87</v>
      </c>
      <c r="X88">
        <v>1.3049999999999999</v>
      </c>
    </row>
    <row r="89" spans="1:24" x14ac:dyDescent="0.25">
      <c r="A89">
        <v>202600684</v>
      </c>
      <c r="B89" t="s">
        <v>245</v>
      </c>
      <c r="C89" t="s">
        <v>23</v>
      </c>
      <c r="D89" s="21">
        <v>46323</v>
      </c>
      <c r="E89" t="s">
        <v>151</v>
      </c>
      <c r="F89">
        <v>44</v>
      </c>
      <c r="G89" s="1">
        <v>46321</v>
      </c>
      <c r="H89" t="s">
        <v>248</v>
      </c>
      <c r="I89" t="s">
        <v>249</v>
      </c>
      <c r="J89" s="2">
        <v>1</v>
      </c>
      <c r="K89" t="s">
        <v>28</v>
      </c>
      <c r="L89" s="2">
        <v>2</v>
      </c>
      <c r="M89" s="2">
        <v>0</v>
      </c>
      <c r="N89" s="2">
        <v>0</v>
      </c>
      <c r="O89" s="2">
        <v>2</v>
      </c>
      <c r="P89" s="2">
        <v>0</v>
      </c>
      <c r="Q89" s="2">
        <v>0</v>
      </c>
      <c r="R89" s="2">
        <v>272</v>
      </c>
      <c r="S89" s="2" t="s">
        <v>8</v>
      </c>
      <c r="T89" t="s">
        <v>47</v>
      </c>
      <c r="U89">
        <v>7.83</v>
      </c>
      <c r="V89">
        <v>4.4950000000000001</v>
      </c>
      <c r="W89">
        <v>0.87</v>
      </c>
      <c r="X89">
        <v>1.3049999999999999</v>
      </c>
    </row>
    <row r="90" spans="1:24" x14ac:dyDescent="0.25">
      <c r="A90">
        <v>202600684</v>
      </c>
      <c r="B90" t="s">
        <v>245</v>
      </c>
      <c r="C90" t="s">
        <v>23</v>
      </c>
      <c r="D90" s="21">
        <v>46323</v>
      </c>
      <c r="E90" t="s">
        <v>151</v>
      </c>
      <c r="F90">
        <v>44</v>
      </c>
      <c r="G90" s="1">
        <v>46321</v>
      </c>
      <c r="H90" t="s">
        <v>250</v>
      </c>
      <c r="I90" t="s">
        <v>251</v>
      </c>
      <c r="J90" s="2">
        <v>1</v>
      </c>
      <c r="K90" t="s">
        <v>28</v>
      </c>
      <c r="L90" s="2">
        <v>1</v>
      </c>
      <c r="M90" s="2">
        <v>0</v>
      </c>
      <c r="N90" s="2">
        <v>0</v>
      </c>
      <c r="O90" s="2">
        <v>2</v>
      </c>
      <c r="P90" s="2">
        <v>1</v>
      </c>
      <c r="Q90" s="2">
        <v>1</v>
      </c>
      <c r="R90" s="2">
        <v>285</v>
      </c>
      <c r="S90" s="2" t="s">
        <v>8</v>
      </c>
      <c r="T90" t="s">
        <v>148</v>
      </c>
      <c r="U90">
        <v>4.3499999999999996</v>
      </c>
      <c r="V90">
        <v>0.89999999999999991</v>
      </c>
      <c r="W90">
        <v>1.125</v>
      </c>
      <c r="X90">
        <v>1.05</v>
      </c>
    </row>
    <row r="91" spans="1:24" x14ac:dyDescent="0.25">
      <c r="A91">
        <v>202600684</v>
      </c>
      <c r="B91" t="s">
        <v>245</v>
      </c>
      <c r="C91" t="s">
        <v>23</v>
      </c>
      <c r="D91" s="21">
        <v>46323</v>
      </c>
      <c r="E91" t="s">
        <v>151</v>
      </c>
      <c r="F91">
        <v>44</v>
      </c>
      <c r="G91" s="1">
        <v>46321</v>
      </c>
      <c r="H91" t="s">
        <v>252</v>
      </c>
      <c r="I91" t="s">
        <v>253</v>
      </c>
      <c r="J91" s="2">
        <v>1</v>
      </c>
      <c r="K91" t="s">
        <v>28</v>
      </c>
      <c r="L91" s="2">
        <v>1</v>
      </c>
      <c r="M91" s="2">
        <v>0</v>
      </c>
      <c r="N91" s="2">
        <v>0</v>
      </c>
      <c r="O91" s="2">
        <v>1</v>
      </c>
      <c r="P91" s="2">
        <v>0</v>
      </c>
      <c r="Q91" s="2">
        <v>0</v>
      </c>
      <c r="R91" s="2">
        <v>286</v>
      </c>
      <c r="S91" s="2" t="s">
        <v>8</v>
      </c>
      <c r="T91" t="s">
        <v>44</v>
      </c>
      <c r="U91">
        <v>0</v>
      </c>
      <c r="V91">
        <v>4.5</v>
      </c>
      <c r="W91">
        <v>0</v>
      </c>
      <c r="X91">
        <v>0</v>
      </c>
    </row>
    <row r="92" spans="1:24" x14ac:dyDescent="0.25">
      <c r="A92">
        <v>202600684</v>
      </c>
      <c r="B92" t="s">
        <v>245</v>
      </c>
      <c r="C92" t="s">
        <v>23</v>
      </c>
      <c r="D92" s="21">
        <v>46323</v>
      </c>
      <c r="E92" t="s">
        <v>151</v>
      </c>
      <c r="F92">
        <v>44</v>
      </c>
      <c r="G92" s="1">
        <v>46321</v>
      </c>
      <c r="H92" t="s">
        <v>254</v>
      </c>
      <c r="I92" t="s">
        <v>255</v>
      </c>
      <c r="J92" s="2">
        <v>1</v>
      </c>
      <c r="K92" t="s">
        <v>28</v>
      </c>
      <c r="L92" s="2">
        <v>1</v>
      </c>
      <c r="M92" s="2">
        <v>0</v>
      </c>
      <c r="N92" s="2">
        <v>0</v>
      </c>
      <c r="O92" s="2">
        <v>1</v>
      </c>
      <c r="P92" s="2">
        <v>0</v>
      </c>
      <c r="Q92" s="2">
        <v>0</v>
      </c>
      <c r="R92" s="2">
        <v>280</v>
      </c>
      <c r="S92" s="2" t="s">
        <v>8</v>
      </c>
      <c r="T92" t="s">
        <v>44</v>
      </c>
      <c r="U92">
        <v>0</v>
      </c>
      <c r="V92">
        <v>4.5</v>
      </c>
      <c r="W92">
        <v>0</v>
      </c>
      <c r="X92">
        <v>0</v>
      </c>
    </row>
    <row r="93" spans="1:24" x14ac:dyDescent="0.25">
      <c r="A93">
        <v>202600684</v>
      </c>
      <c r="B93" t="s">
        <v>245</v>
      </c>
      <c r="C93" t="s">
        <v>23</v>
      </c>
      <c r="D93" s="21">
        <v>46323</v>
      </c>
      <c r="E93" t="s">
        <v>151</v>
      </c>
      <c r="F93">
        <v>44</v>
      </c>
      <c r="G93" s="1">
        <v>46321</v>
      </c>
      <c r="H93" t="s">
        <v>256</v>
      </c>
      <c r="I93" t="s">
        <v>257</v>
      </c>
      <c r="J93" s="2">
        <v>1</v>
      </c>
      <c r="K93" t="s">
        <v>28</v>
      </c>
      <c r="L93" s="2">
        <v>6</v>
      </c>
      <c r="M93" s="2">
        <v>6</v>
      </c>
      <c r="N93" s="2">
        <v>0</v>
      </c>
      <c r="O93" s="2">
        <v>0</v>
      </c>
      <c r="P93" s="2">
        <v>0</v>
      </c>
      <c r="Q93" s="2">
        <v>0</v>
      </c>
      <c r="R93" s="2">
        <v>278</v>
      </c>
      <c r="S93" s="2" t="s">
        <v>9</v>
      </c>
      <c r="T93" t="s">
        <v>45</v>
      </c>
      <c r="U93"/>
      <c r="V93"/>
      <c r="W93"/>
      <c r="X93"/>
    </row>
    <row r="94" spans="1:24" x14ac:dyDescent="0.25">
      <c r="A94">
        <v>202600684</v>
      </c>
      <c r="B94" t="s">
        <v>245</v>
      </c>
      <c r="C94" t="s">
        <v>23</v>
      </c>
      <c r="D94" s="21">
        <v>46323</v>
      </c>
      <c r="E94" t="s">
        <v>151</v>
      </c>
      <c r="F94">
        <v>44</v>
      </c>
      <c r="G94" s="1">
        <v>46321</v>
      </c>
      <c r="H94" t="s">
        <v>256</v>
      </c>
      <c r="I94" t="s">
        <v>257</v>
      </c>
      <c r="J94" s="2">
        <v>4</v>
      </c>
      <c r="K94" t="s">
        <v>28</v>
      </c>
      <c r="L94" s="2">
        <v>6</v>
      </c>
      <c r="M94" s="2">
        <v>6</v>
      </c>
      <c r="N94" s="2">
        <v>0</v>
      </c>
      <c r="O94" s="2">
        <v>0</v>
      </c>
      <c r="P94" s="2">
        <v>0</v>
      </c>
      <c r="Q94" s="2">
        <v>0</v>
      </c>
      <c r="R94" s="2">
        <v>263</v>
      </c>
      <c r="S94" s="2" t="s">
        <v>9</v>
      </c>
      <c r="T94" t="s">
        <v>45</v>
      </c>
      <c r="U94"/>
      <c r="V94"/>
      <c r="W94"/>
      <c r="X94"/>
    </row>
    <row r="95" spans="1:24" x14ac:dyDescent="0.25">
      <c r="A95">
        <v>202600684</v>
      </c>
      <c r="B95" t="s">
        <v>245</v>
      </c>
      <c r="C95" t="s">
        <v>23</v>
      </c>
      <c r="D95" s="21">
        <v>46323</v>
      </c>
      <c r="E95" t="s">
        <v>151</v>
      </c>
      <c r="F95">
        <v>44</v>
      </c>
      <c r="G95" s="1">
        <v>46321</v>
      </c>
      <c r="H95" t="s">
        <v>37</v>
      </c>
      <c r="I95" t="s">
        <v>38</v>
      </c>
      <c r="J95" s="2">
        <v>1</v>
      </c>
      <c r="K95" t="s">
        <v>28</v>
      </c>
      <c r="L95" s="2">
        <v>15</v>
      </c>
      <c r="M95" s="2">
        <v>1</v>
      </c>
      <c r="N95" s="2">
        <v>3</v>
      </c>
      <c r="O95" s="2">
        <v>17</v>
      </c>
      <c r="P95" s="2">
        <v>3</v>
      </c>
      <c r="Q95" s="2">
        <v>3</v>
      </c>
      <c r="R95" s="2">
        <v>266</v>
      </c>
      <c r="S95" s="2" t="s">
        <v>8</v>
      </c>
      <c r="T95" t="s">
        <v>43</v>
      </c>
      <c r="U95">
        <v>8.1999999999999993</v>
      </c>
      <c r="V95">
        <v>0.2</v>
      </c>
      <c r="W95">
        <v>0.8</v>
      </c>
      <c r="X95">
        <v>0.89999999999999991</v>
      </c>
    </row>
    <row r="96" spans="1:24" x14ac:dyDescent="0.25">
      <c r="A96">
        <v>202600684</v>
      </c>
      <c r="B96" t="s">
        <v>245</v>
      </c>
      <c r="C96" t="s">
        <v>23</v>
      </c>
      <c r="D96" s="21">
        <v>46323</v>
      </c>
      <c r="E96" t="s">
        <v>151</v>
      </c>
      <c r="F96">
        <v>44</v>
      </c>
      <c r="G96" s="1">
        <v>46321</v>
      </c>
      <c r="H96" t="s">
        <v>37</v>
      </c>
      <c r="I96" t="s">
        <v>38</v>
      </c>
      <c r="J96" s="2">
        <v>1</v>
      </c>
      <c r="K96" t="s">
        <v>28</v>
      </c>
      <c r="L96" s="2">
        <v>15</v>
      </c>
      <c r="M96" s="2">
        <v>1</v>
      </c>
      <c r="N96" s="2">
        <v>3</v>
      </c>
      <c r="O96" s="2">
        <v>17</v>
      </c>
      <c r="P96" s="2">
        <v>3</v>
      </c>
      <c r="Q96" s="2">
        <v>3</v>
      </c>
      <c r="R96" s="2">
        <v>273</v>
      </c>
      <c r="S96" s="2" t="s">
        <v>8</v>
      </c>
      <c r="T96" t="s">
        <v>43</v>
      </c>
      <c r="U96">
        <v>8.1999999999999993</v>
      </c>
      <c r="V96">
        <v>0.2</v>
      </c>
      <c r="W96">
        <v>0.8</v>
      </c>
      <c r="X96">
        <v>0.89999999999999991</v>
      </c>
    </row>
    <row r="97" spans="1:24" x14ac:dyDescent="0.25">
      <c r="A97">
        <v>202600231</v>
      </c>
      <c r="B97" t="s">
        <v>258</v>
      </c>
      <c r="C97" t="s">
        <v>23</v>
      </c>
      <c r="D97" s="21">
        <v>46325</v>
      </c>
      <c r="E97" t="s">
        <v>32</v>
      </c>
      <c r="F97">
        <v>44</v>
      </c>
      <c r="G97" s="1">
        <v>46321</v>
      </c>
      <c r="H97" t="s">
        <v>112</v>
      </c>
      <c r="I97" t="s">
        <v>113</v>
      </c>
      <c r="J97" s="2">
        <v>1</v>
      </c>
      <c r="K97" t="s">
        <v>28</v>
      </c>
      <c r="L97" s="2">
        <v>2</v>
      </c>
      <c r="M97" s="2">
        <v>2</v>
      </c>
      <c r="N97" s="2">
        <v>0</v>
      </c>
      <c r="O97" s="2">
        <v>0</v>
      </c>
      <c r="P97" s="2">
        <v>0</v>
      </c>
      <c r="Q97" s="2">
        <v>0</v>
      </c>
      <c r="R97" s="2">
        <v>8</v>
      </c>
      <c r="S97" s="2" t="s">
        <v>9</v>
      </c>
      <c r="T97" t="s">
        <v>41</v>
      </c>
      <c r="U97">
        <v>0.6</v>
      </c>
      <c r="V97">
        <v>0</v>
      </c>
      <c r="W97">
        <v>0</v>
      </c>
      <c r="X97">
        <v>0</v>
      </c>
    </row>
    <row r="98" spans="1:24" x14ac:dyDescent="0.25">
      <c r="A98">
        <v>202600231</v>
      </c>
      <c r="B98" t="s">
        <v>258</v>
      </c>
      <c r="C98" t="s">
        <v>23</v>
      </c>
      <c r="D98" s="21">
        <v>46325</v>
      </c>
      <c r="E98" t="s">
        <v>32</v>
      </c>
      <c r="F98">
        <v>44</v>
      </c>
      <c r="G98" s="1">
        <v>46321</v>
      </c>
      <c r="H98" t="s">
        <v>30</v>
      </c>
      <c r="I98" t="s">
        <v>31</v>
      </c>
      <c r="J98" s="2">
        <v>1</v>
      </c>
      <c r="K98" t="s">
        <v>28</v>
      </c>
      <c r="L98" s="2">
        <v>37</v>
      </c>
      <c r="M98" s="2">
        <v>11</v>
      </c>
      <c r="N98" s="2">
        <v>12</v>
      </c>
      <c r="O98" s="2">
        <v>50</v>
      </c>
      <c r="P98" s="2">
        <v>22</v>
      </c>
      <c r="Q98" s="2">
        <v>22</v>
      </c>
      <c r="R98" s="2">
        <v>1</v>
      </c>
      <c r="S98" s="2" t="s">
        <v>29</v>
      </c>
      <c r="T98" t="s">
        <v>42</v>
      </c>
      <c r="U98">
        <v>0</v>
      </c>
      <c r="V98">
        <v>4.1400000000000006</v>
      </c>
      <c r="W98">
        <v>0.36</v>
      </c>
      <c r="X98">
        <v>0</v>
      </c>
    </row>
    <row r="99" spans="1:24" x14ac:dyDescent="0.25">
      <c r="A99">
        <v>202600231</v>
      </c>
      <c r="B99" t="s">
        <v>258</v>
      </c>
      <c r="C99" t="s">
        <v>23</v>
      </c>
      <c r="D99" s="21">
        <v>46325</v>
      </c>
      <c r="E99" t="s">
        <v>32</v>
      </c>
      <c r="F99">
        <v>44</v>
      </c>
      <c r="G99" s="1">
        <v>46321</v>
      </c>
      <c r="H99" t="s">
        <v>56</v>
      </c>
      <c r="I99" t="s">
        <v>57</v>
      </c>
      <c r="J99" s="2">
        <v>1</v>
      </c>
      <c r="K99" t="s">
        <v>28</v>
      </c>
      <c r="L99" s="2">
        <v>5</v>
      </c>
      <c r="M99" s="2">
        <v>0</v>
      </c>
      <c r="N99" s="2">
        <v>0</v>
      </c>
      <c r="O99" s="2">
        <v>6</v>
      </c>
      <c r="P99" s="2">
        <v>1</v>
      </c>
      <c r="Q99" s="2">
        <v>1</v>
      </c>
      <c r="R99" s="2">
        <v>2</v>
      </c>
      <c r="S99" s="2" t="s">
        <v>8</v>
      </c>
      <c r="T99" t="s">
        <v>52</v>
      </c>
      <c r="U99">
        <v>4.34</v>
      </c>
      <c r="V99">
        <v>1.68</v>
      </c>
      <c r="W99">
        <v>0.42</v>
      </c>
      <c r="X99">
        <v>0.56000000000000005</v>
      </c>
    </row>
    <row r="100" spans="1:24" x14ac:dyDescent="0.25">
      <c r="A100">
        <v>202600231</v>
      </c>
      <c r="B100" t="s">
        <v>258</v>
      </c>
      <c r="C100" t="s">
        <v>23</v>
      </c>
      <c r="D100" s="21">
        <v>46325</v>
      </c>
      <c r="E100" t="s">
        <v>32</v>
      </c>
      <c r="F100">
        <v>44</v>
      </c>
      <c r="G100" s="1">
        <v>46321</v>
      </c>
      <c r="H100" t="s">
        <v>24</v>
      </c>
      <c r="I100" t="s">
        <v>25</v>
      </c>
      <c r="J100" s="2">
        <v>1</v>
      </c>
      <c r="K100" t="s">
        <v>28</v>
      </c>
      <c r="L100" s="2">
        <v>22</v>
      </c>
      <c r="M100" s="2">
        <v>0</v>
      </c>
      <c r="N100" s="2">
        <v>1</v>
      </c>
      <c r="O100" s="2">
        <v>21</v>
      </c>
      <c r="P100" s="2">
        <v>-1</v>
      </c>
      <c r="Q100" s="2">
        <v>-1</v>
      </c>
      <c r="R100" s="2">
        <v>3</v>
      </c>
      <c r="S100" s="2" t="s">
        <v>22</v>
      </c>
      <c r="T100" t="s">
        <v>47</v>
      </c>
      <c r="U100">
        <v>7.83</v>
      </c>
      <c r="V100">
        <v>4.4950000000000001</v>
      </c>
      <c r="W100">
        <v>0.87</v>
      </c>
      <c r="X100">
        <v>1.3049999999999999</v>
      </c>
    </row>
    <row r="101" spans="1:24" x14ac:dyDescent="0.25">
      <c r="A101">
        <v>202600231</v>
      </c>
      <c r="B101" t="s">
        <v>258</v>
      </c>
      <c r="C101" t="s">
        <v>23</v>
      </c>
      <c r="D101" s="21">
        <v>46325</v>
      </c>
      <c r="E101" t="s">
        <v>32</v>
      </c>
      <c r="F101">
        <v>44</v>
      </c>
      <c r="G101" s="1">
        <v>46321</v>
      </c>
      <c r="H101" t="s">
        <v>102</v>
      </c>
      <c r="I101" t="s">
        <v>103</v>
      </c>
      <c r="J101" s="2">
        <v>1</v>
      </c>
      <c r="K101" t="s">
        <v>28</v>
      </c>
      <c r="L101" s="2">
        <v>5</v>
      </c>
      <c r="M101" s="2">
        <v>6</v>
      </c>
      <c r="N101" s="2">
        <v>3</v>
      </c>
      <c r="O101" s="2">
        <v>0</v>
      </c>
      <c r="P101" s="2">
        <v>1</v>
      </c>
      <c r="Q101" s="2">
        <v>1</v>
      </c>
      <c r="R101" s="2">
        <v>4</v>
      </c>
      <c r="S101" s="2" t="s">
        <v>9</v>
      </c>
      <c r="T101" t="s">
        <v>43</v>
      </c>
      <c r="U101">
        <v>8.1999999999999993</v>
      </c>
      <c r="V101">
        <v>0.2</v>
      </c>
      <c r="W101">
        <v>0.8</v>
      </c>
      <c r="X101">
        <v>0.89999999999999991</v>
      </c>
    </row>
    <row r="102" spans="1:24" x14ac:dyDescent="0.25">
      <c r="A102">
        <v>202600606</v>
      </c>
      <c r="B102"/>
      <c r="C102" t="s">
        <v>259</v>
      </c>
      <c r="D102" s="21">
        <v>46325</v>
      </c>
      <c r="E102" t="s">
        <v>32</v>
      </c>
      <c r="F102">
        <v>44</v>
      </c>
      <c r="G102" s="1">
        <v>46321</v>
      </c>
      <c r="H102" t="s">
        <v>108</v>
      </c>
      <c r="I102" t="s">
        <v>109</v>
      </c>
      <c r="J102" s="2">
        <v>1</v>
      </c>
      <c r="K102" t="s">
        <v>28</v>
      </c>
      <c r="L102" s="2">
        <v>11</v>
      </c>
      <c r="M102" s="2">
        <v>8</v>
      </c>
      <c r="N102" s="2">
        <v>1</v>
      </c>
      <c r="O102" s="2">
        <v>5</v>
      </c>
      <c r="P102" s="2">
        <v>2</v>
      </c>
      <c r="Q102" s="2">
        <v>2</v>
      </c>
      <c r="R102" s="2">
        <v>185</v>
      </c>
      <c r="S102" s="2" t="s">
        <v>29</v>
      </c>
      <c r="T102" t="s">
        <v>41</v>
      </c>
      <c r="U102">
        <v>0.6</v>
      </c>
      <c r="V102">
        <v>0</v>
      </c>
      <c r="W102">
        <v>0</v>
      </c>
      <c r="X102">
        <v>0</v>
      </c>
    </row>
    <row r="103" spans="1:24" x14ac:dyDescent="0.25">
      <c r="A103">
        <v>202600606</v>
      </c>
      <c r="B103"/>
      <c r="C103" t="s">
        <v>259</v>
      </c>
      <c r="D103" s="21">
        <v>46325</v>
      </c>
      <c r="E103" t="s">
        <v>32</v>
      </c>
      <c r="F103">
        <v>44</v>
      </c>
      <c r="G103" s="1">
        <v>46321</v>
      </c>
      <c r="H103" t="s">
        <v>115</v>
      </c>
      <c r="I103" t="s">
        <v>116</v>
      </c>
      <c r="J103" s="2">
        <v>1</v>
      </c>
      <c r="K103" t="s">
        <v>28</v>
      </c>
      <c r="L103" s="2">
        <v>2</v>
      </c>
      <c r="M103" s="2">
        <v>0</v>
      </c>
      <c r="N103" s="2">
        <v>0</v>
      </c>
      <c r="O103" s="2">
        <v>2</v>
      </c>
      <c r="P103" s="2">
        <v>0</v>
      </c>
      <c r="Q103" s="2">
        <v>0</v>
      </c>
      <c r="R103" s="2">
        <v>181</v>
      </c>
      <c r="S103" s="2" t="s">
        <v>8</v>
      </c>
      <c r="T103" t="s">
        <v>42</v>
      </c>
      <c r="U103">
        <v>0</v>
      </c>
      <c r="V103">
        <v>4.1400000000000006</v>
      </c>
      <c r="W103">
        <v>0.36</v>
      </c>
      <c r="X103">
        <v>0</v>
      </c>
    </row>
    <row r="104" spans="1:24" x14ac:dyDescent="0.25">
      <c r="A104">
        <v>202600606</v>
      </c>
      <c r="B104"/>
      <c r="C104" t="s">
        <v>259</v>
      </c>
      <c r="D104" s="21">
        <v>46325</v>
      </c>
      <c r="E104" t="s">
        <v>32</v>
      </c>
      <c r="F104">
        <v>44</v>
      </c>
      <c r="G104" s="1">
        <v>46321</v>
      </c>
      <c r="H104" t="s">
        <v>260</v>
      </c>
      <c r="I104" t="s">
        <v>261</v>
      </c>
      <c r="J104" s="2">
        <v>1</v>
      </c>
      <c r="K104" t="s">
        <v>28</v>
      </c>
      <c r="L104" s="2">
        <v>1</v>
      </c>
      <c r="M104" s="2">
        <v>0</v>
      </c>
      <c r="N104" s="2">
        <v>0</v>
      </c>
      <c r="O104" s="2">
        <v>0</v>
      </c>
      <c r="P104" s="2">
        <v>-1</v>
      </c>
      <c r="Q104" s="2">
        <v>-1</v>
      </c>
      <c r="R104" s="2">
        <v>183</v>
      </c>
      <c r="S104" s="2" t="s">
        <v>22</v>
      </c>
      <c r="T104" t="s">
        <v>92</v>
      </c>
      <c r="U104">
        <v>7.2600000000000007</v>
      </c>
      <c r="V104">
        <v>2.42</v>
      </c>
      <c r="W104">
        <v>0.77</v>
      </c>
      <c r="X104">
        <v>0.55000000000000004</v>
      </c>
    </row>
    <row r="105" spans="1:24" x14ac:dyDescent="0.25">
      <c r="A105">
        <v>202600606</v>
      </c>
      <c r="B105"/>
      <c r="C105" t="s">
        <v>259</v>
      </c>
      <c r="D105" s="21">
        <v>46325</v>
      </c>
      <c r="E105" t="s">
        <v>32</v>
      </c>
      <c r="F105">
        <v>44</v>
      </c>
      <c r="G105" s="1">
        <v>46321</v>
      </c>
      <c r="H105" t="s">
        <v>262</v>
      </c>
      <c r="I105" t="s">
        <v>263</v>
      </c>
      <c r="J105" s="2">
        <v>1</v>
      </c>
      <c r="K105" t="s">
        <v>28</v>
      </c>
      <c r="L105" s="2">
        <v>1</v>
      </c>
      <c r="M105" s="2">
        <v>0</v>
      </c>
      <c r="N105" s="2">
        <v>0</v>
      </c>
      <c r="O105" s="2">
        <v>1</v>
      </c>
      <c r="P105" s="2">
        <v>1</v>
      </c>
      <c r="Q105" s="2">
        <v>0</v>
      </c>
      <c r="R105" s="2">
        <v>184</v>
      </c>
      <c r="S105" s="2" t="s">
        <v>8</v>
      </c>
      <c r="T105" t="s">
        <v>44</v>
      </c>
      <c r="U105"/>
      <c r="V105"/>
      <c r="W105"/>
      <c r="X105"/>
    </row>
    <row r="106" spans="1:24" x14ac:dyDescent="0.25">
      <c r="A106">
        <v>202600709</v>
      </c>
      <c r="B106"/>
      <c r="C106" t="s">
        <v>209</v>
      </c>
      <c r="D106" s="21">
        <v>46325</v>
      </c>
      <c r="E106" t="s">
        <v>32</v>
      </c>
      <c r="F106">
        <v>44</v>
      </c>
      <c r="G106" s="1">
        <v>46321</v>
      </c>
      <c r="H106" t="s">
        <v>135</v>
      </c>
      <c r="I106" t="s">
        <v>136</v>
      </c>
      <c r="J106" s="2">
        <v>1</v>
      </c>
      <c r="K106" t="s">
        <v>28</v>
      </c>
      <c r="L106" s="2">
        <v>5</v>
      </c>
      <c r="M106" s="2">
        <v>1</v>
      </c>
      <c r="N106" s="2">
        <v>0</v>
      </c>
      <c r="O106" s="2">
        <v>6</v>
      </c>
      <c r="P106" s="2">
        <v>2</v>
      </c>
      <c r="Q106" s="2">
        <v>2</v>
      </c>
      <c r="R106" s="2">
        <v>350</v>
      </c>
      <c r="S106" s="2" t="s">
        <v>8</v>
      </c>
      <c r="T106" t="s">
        <v>41</v>
      </c>
      <c r="U106"/>
      <c r="V106"/>
      <c r="W106"/>
      <c r="X106"/>
    </row>
    <row r="107" spans="1:24" x14ac:dyDescent="0.25">
      <c r="A107">
        <v>202600709</v>
      </c>
      <c r="B107"/>
      <c r="C107" t="s">
        <v>209</v>
      </c>
      <c r="D107" s="21">
        <v>46325</v>
      </c>
      <c r="E107" t="s">
        <v>32</v>
      </c>
      <c r="F107">
        <v>44</v>
      </c>
      <c r="G107" s="1">
        <v>46321</v>
      </c>
      <c r="H107" t="s">
        <v>137</v>
      </c>
      <c r="I107" t="s">
        <v>138</v>
      </c>
      <c r="J107" s="2">
        <v>6</v>
      </c>
      <c r="K107" t="s">
        <v>28</v>
      </c>
      <c r="L107" s="2">
        <v>13</v>
      </c>
      <c r="M107" s="2">
        <v>5</v>
      </c>
      <c r="N107" s="2">
        <v>2</v>
      </c>
      <c r="O107" s="2">
        <v>14</v>
      </c>
      <c r="P107" s="2">
        <v>6</v>
      </c>
      <c r="Q107" s="2">
        <v>6</v>
      </c>
      <c r="R107" s="2">
        <v>356</v>
      </c>
      <c r="S107" s="2" t="s">
        <v>8</v>
      </c>
      <c r="T107" t="s">
        <v>41</v>
      </c>
      <c r="U107"/>
      <c r="V107"/>
      <c r="W107"/>
      <c r="X107"/>
    </row>
    <row r="108" spans="1:24" x14ac:dyDescent="0.25">
      <c r="A108">
        <v>202600709</v>
      </c>
      <c r="B108"/>
      <c r="C108" t="s">
        <v>209</v>
      </c>
      <c r="D108" s="21">
        <v>46325</v>
      </c>
      <c r="E108" t="s">
        <v>32</v>
      </c>
      <c r="F108">
        <v>44</v>
      </c>
      <c r="G108" s="1">
        <v>46321</v>
      </c>
      <c r="H108" t="s">
        <v>233</v>
      </c>
      <c r="I108" t="s">
        <v>234</v>
      </c>
      <c r="J108" s="2">
        <v>7</v>
      </c>
      <c r="K108" t="s">
        <v>28</v>
      </c>
      <c r="L108" s="2">
        <v>11</v>
      </c>
      <c r="M108" s="2">
        <v>8</v>
      </c>
      <c r="N108" s="2">
        <v>5</v>
      </c>
      <c r="O108" s="2">
        <v>2</v>
      </c>
      <c r="P108" s="2">
        <v>-1</v>
      </c>
      <c r="Q108" s="2">
        <v>-1</v>
      </c>
      <c r="R108" s="2">
        <v>360</v>
      </c>
      <c r="S108" s="2" t="s">
        <v>22</v>
      </c>
      <c r="T108"/>
      <c r="U108"/>
      <c r="V108"/>
      <c r="W108"/>
      <c r="X108"/>
    </row>
    <row r="109" spans="1:24" x14ac:dyDescent="0.25">
      <c r="A109">
        <v>202600709</v>
      </c>
      <c r="B109"/>
      <c r="C109" t="s">
        <v>209</v>
      </c>
      <c r="D109" s="21">
        <v>46325</v>
      </c>
      <c r="E109" t="s">
        <v>32</v>
      </c>
      <c r="F109">
        <v>44</v>
      </c>
      <c r="G109" s="1">
        <v>46321</v>
      </c>
      <c r="H109" t="s">
        <v>30</v>
      </c>
      <c r="I109" t="s">
        <v>31</v>
      </c>
      <c r="J109" s="2">
        <v>6</v>
      </c>
      <c r="K109" t="s">
        <v>28</v>
      </c>
      <c r="L109" s="2">
        <v>37</v>
      </c>
      <c r="M109" s="2">
        <v>11</v>
      </c>
      <c r="N109" s="2">
        <v>12</v>
      </c>
      <c r="O109" s="2">
        <v>50</v>
      </c>
      <c r="P109" s="2">
        <v>22</v>
      </c>
      <c r="Q109" s="2">
        <v>22</v>
      </c>
      <c r="R109" s="2">
        <v>352</v>
      </c>
      <c r="S109" s="2" t="s">
        <v>29</v>
      </c>
      <c r="T109" t="s">
        <v>42</v>
      </c>
      <c r="U109">
        <v>0</v>
      </c>
      <c r="V109">
        <v>4.1400000000000006</v>
      </c>
      <c r="W109">
        <v>0.36</v>
      </c>
      <c r="X109">
        <v>0</v>
      </c>
    </row>
    <row r="110" spans="1:24" x14ac:dyDescent="0.25">
      <c r="A110">
        <v>202600709</v>
      </c>
      <c r="B110"/>
      <c r="C110" t="s">
        <v>209</v>
      </c>
      <c r="D110" s="21">
        <v>46325</v>
      </c>
      <c r="E110" t="s">
        <v>32</v>
      </c>
      <c r="F110">
        <v>44</v>
      </c>
      <c r="G110" s="1">
        <v>46321</v>
      </c>
      <c r="H110" t="s">
        <v>30</v>
      </c>
      <c r="I110" t="s">
        <v>31</v>
      </c>
      <c r="J110" s="2">
        <v>1</v>
      </c>
      <c r="K110" t="s">
        <v>28</v>
      </c>
      <c r="L110" s="2">
        <v>37</v>
      </c>
      <c r="M110" s="2">
        <v>11</v>
      </c>
      <c r="N110" s="2">
        <v>12</v>
      </c>
      <c r="O110" s="2">
        <v>50</v>
      </c>
      <c r="P110" s="2">
        <v>22</v>
      </c>
      <c r="Q110" s="2">
        <v>22</v>
      </c>
      <c r="R110" s="2">
        <v>347</v>
      </c>
      <c r="S110" s="2" t="s">
        <v>29</v>
      </c>
      <c r="T110" t="s">
        <v>42</v>
      </c>
      <c r="U110">
        <v>0</v>
      </c>
      <c r="V110">
        <v>4.1400000000000006</v>
      </c>
      <c r="W110">
        <v>0.36</v>
      </c>
      <c r="X110">
        <v>0</v>
      </c>
    </row>
    <row r="111" spans="1:24" x14ac:dyDescent="0.25">
      <c r="A111">
        <v>202600709</v>
      </c>
      <c r="B111"/>
      <c r="C111" t="s">
        <v>209</v>
      </c>
      <c r="D111" s="21">
        <v>46325</v>
      </c>
      <c r="E111" t="s">
        <v>32</v>
      </c>
      <c r="F111">
        <v>44</v>
      </c>
      <c r="G111" s="1">
        <v>46321</v>
      </c>
      <c r="H111" t="s">
        <v>235</v>
      </c>
      <c r="I111" t="s">
        <v>236</v>
      </c>
      <c r="J111" s="2">
        <v>1</v>
      </c>
      <c r="K111" t="s">
        <v>28</v>
      </c>
      <c r="L111" s="2">
        <v>3</v>
      </c>
      <c r="M111" s="2">
        <v>0</v>
      </c>
      <c r="N111" s="2">
        <v>0</v>
      </c>
      <c r="O111" s="2">
        <v>3</v>
      </c>
      <c r="P111" s="2">
        <v>0</v>
      </c>
      <c r="Q111" s="2">
        <v>0</v>
      </c>
      <c r="R111" s="2">
        <v>354</v>
      </c>
      <c r="S111" s="2" t="s">
        <v>8</v>
      </c>
      <c r="T111" t="s">
        <v>47</v>
      </c>
      <c r="U111">
        <v>7.83</v>
      </c>
      <c r="V111">
        <v>4.4950000000000001</v>
      </c>
      <c r="W111">
        <v>0.87</v>
      </c>
      <c r="X111">
        <v>1.3049999999999999</v>
      </c>
    </row>
    <row r="112" spans="1:24" x14ac:dyDescent="0.25">
      <c r="A112">
        <v>202600709</v>
      </c>
      <c r="B112"/>
      <c r="C112" t="s">
        <v>209</v>
      </c>
      <c r="D112" s="21">
        <v>46325</v>
      </c>
      <c r="E112" t="s">
        <v>32</v>
      </c>
      <c r="F112">
        <v>44</v>
      </c>
      <c r="G112" s="1">
        <v>46321</v>
      </c>
      <c r="H112" t="s">
        <v>24</v>
      </c>
      <c r="I112" t="s">
        <v>25</v>
      </c>
      <c r="J112" s="2">
        <v>5</v>
      </c>
      <c r="K112" t="s">
        <v>28</v>
      </c>
      <c r="L112" s="2">
        <v>22</v>
      </c>
      <c r="M112" s="2">
        <v>0</v>
      </c>
      <c r="N112" s="2">
        <v>1</v>
      </c>
      <c r="O112" s="2">
        <v>21</v>
      </c>
      <c r="P112" s="2">
        <v>-1</v>
      </c>
      <c r="Q112" s="2">
        <v>-1</v>
      </c>
      <c r="R112" s="2">
        <v>353</v>
      </c>
      <c r="S112" s="2" t="s">
        <v>22</v>
      </c>
      <c r="T112" t="s">
        <v>47</v>
      </c>
      <c r="U112">
        <v>7.83</v>
      </c>
      <c r="V112">
        <v>4.4950000000000001</v>
      </c>
      <c r="W112">
        <v>0.87</v>
      </c>
      <c r="X112">
        <v>1.3049999999999999</v>
      </c>
    </row>
    <row r="113" spans="1:24" x14ac:dyDescent="0.25">
      <c r="A113">
        <v>202600709</v>
      </c>
      <c r="B113"/>
      <c r="C113" t="s">
        <v>209</v>
      </c>
      <c r="D113" s="21">
        <v>46325</v>
      </c>
      <c r="E113" t="s">
        <v>32</v>
      </c>
      <c r="F113">
        <v>44</v>
      </c>
      <c r="G113" s="1">
        <v>46321</v>
      </c>
      <c r="H113" t="s">
        <v>24</v>
      </c>
      <c r="I113" t="s">
        <v>25</v>
      </c>
      <c r="J113" s="2">
        <v>2</v>
      </c>
      <c r="K113" t="s">
        <v>28</v>
      </c>
      <c r="L113" s="2">
        <v>22</v>
      </c>
      <c r="M113" s="2">
        <v>0</v>
      </c>
      <c r="N113" s="2">
        <v>1</v>
      </c>
      <c r="O113" s="2">
        <v>21</v>
      </c>
      <c r="P113" s="2">
        <v>-1</v>
      </c>
      <c r="Q113" s="2">
        <v>-1</v>
      </c>
      <c r="R113" s="2">
        <v>348</v>
      </c>
      <c r="S113" s="2" t="s">
        <v>22</v>
      </c>
      <c r="T113" t="s">
        <v>47</v>
      </c>
      <c r="U113">
        <v>7.83</v>
      </c>
      <c r="V113">
        <v>4.4950000000000001</v>
      </c>
      <c r="W113">
        <v>0.87</v>
      </c>
      <c r="X113">
        <v>1.3049999999999999</v>
      </c>
    </row>
    <row r="114" spans="1:24" x14ac:dyDescent="0.25">
      <c r="A114">
        <v>202600709</v>
      </c>
      <c r="B114"/>
      <c r="C114" t="s">
        <v>209</v>
      </c>
      <c r="D114" s="21">
        <v>46325</v>
      </c>
      <c r="E114" t="s">
        <v>32</v>
      </c>
      <c r="F114">
        <v>44</v>
      </c>
      <c r="G114" s="1">
        <v>46321</v>
      </c>
      <c r="H114" t="s">
        <v>126</v>
      </c>
      <c r="I114" t="s">
        <v>127</v>
      </c>
      <c r="J114" s="2">
        <v>1</v>
      </c>
      <c r="K114" t="s">
        <v>28</v>
      </c>
      <c r="L114" s="2">
        <v>6</v>
      </c>
      <c r="M114" s="2">
        <v>2</v>
      </c>
      <c r="N114" s="2">
        <v>3</v>
      </c>
      <c r="O114" s="2">
        <v>7</v>
      </c>
      <c r="P114" s="2">
        <v>3</v>
      </c>
      <c r="Q114" s="2">
        <v>3</v>
      </c>
      <c r="R114" s="2">
        <v>349</v>
      </c>
      <c r="S114" s="2" t="s">
        <v>29</v>
      </c>
      <c r="T114" t="s">
        <v>43</v>
      </c>
      <c r="U114">
        <v>8.1999999999999993</v>
      </c>
      <c r="V114">
        <v>0.2</v>
      </c>
      <c r="W114">
        <v>0.8</v>
      </c>
      <c r="X114">
        <v>0.89999999999999991</v>
      </c>
    </row>
    <row r="115" spans="1:24" x14ac:dyDescent="0.25">
      <c r="A115">
        <v>202600709</v>
      </c>
      <c r="B115"/>
      <c r="C115" t="s">
        <v>209</v>
      </c>
      <c r="D115" s="21">
        <v>46325</v>
      </c>
      <c r="E115" t="s">
        <v>32</v>
      </c>
      <c r="F115">
        <v>44</v>
      </c>
      <c r="G115" s="1">
        <v>46321</v>
      </c>
      <c r="H115" t="s">
        <v>37</v>
      </c>
      <c r="I115" t="s">
        <v>38</v>
      </c>
      <c r="J115" s="2">
        <v>6</v>
      </c>
      <c r="K115" t="s">
        <v>28</v>
      </c>
      <c r="L115" s="2">
        <v>15</v>
      </c>
      <c r="M115" s="2">
        <v>1</v>
      </c>
      <c r="N115" s="2">
        <v>3</v>
      </c>
      <c r="O115" s="2">
        <v>17</v>
      </c>
      <c r="P115" s="2">
        <v>3</v>
      </c>
      <c r="Q115" s="2">
        <v>3</v>
      </c>
      <c r="R115" s="2">
        <v>355</v>
      </c>
      <c r="S115" s="2" t="s">
        <v>8</v>
      </c>
      <c r="T115" t="s">
        <v>43</v>
      </c>
      <c r="U115">
        <v>8.1999999999999993</v>
      </c>
      <c r="V115">
        <v>0.2</v>
      </c>
      <c r="W115">
        <v>0.8</v>
      </c>
      <c r="X115">
        <v>0.89999999999999991</v>
      </c>
    </row>
    <row r="116" spans="1:24" x14ac:dyDescent="0.25">
      <c r="A116">
        <v>202600587</v>
      </c>
      <c r="B116"/>
      <c r="C116" t="s">
        <v>55</v>
      </c>
      <c r="D116" s="21">
        <v>46330</v>
      </c>
      <c r="E116" t="s">
        <v>151</v>
      </c>
      <c r="F116">
        <v>45</v>
      </c>
      <c r="G116" s="1">
        <v>46328</v>
      </c>
      <c r="H116" t="s">
        <v>152</v>
      </c>
      <c r="I116" t="s">
        <v>153</v>
      </c>
      <c r="J116" s="2">
        <v>20</v>
      </c>
      <c r="K116" t="s">
        <v>28</v>
      </c>
      <c r="L116" s="2">
        <v>40</v>
      </c>
      <c r="M116" s="2">
        <v>0</v>
      </c>
      <c r="N116" s="2">
        <v>1</v>
      </c>
      <c r="O116" s="2">
        <v>40</v>
      </c>
      <c r="P116" s="2">
        <v>0</v>
      </c>
      <c r="Q116" s="2">
        <v>0</v>
      </c>
      <c r="R116" s="2">
        <v>153</v>
      </c>
      <c r="S116" s="2" t="s">
        <v>8</v>
      </c>
      <c r="T116"/>
      <c r="U116"/>
      <c r="V116"/>
      <c r="W116"/>
      <c r="X116"/>
    </row>
    <row r="117" spans="1:24" x14ac:dyDescent="0.25">
      <c r="A117">
        <v>202600464</v>
      </c>
      <c r="B117"/>
      <c r="C117" t="s">
        <v>270</v>
      </c>
      <c r="D117" s="21">
        <v>46331</v>
      </c>
      <c r="E117" t="s">
        <v>51</v>
      </c>
      <c r="F117">
        <v>45</v>
      </c>
      <c r="G117" s="1">
        <v>46328</v>
      </c>
      <c r="H117" t="s">
        <v>108</v>
      </c>
      <c r="I117" t="s">
        <v>109</v>
      </c>
      <c r="J117" s="2">
        <v>1</v>
      </c>
      <c r="K117" t="s">
        <v>28</v>
      </c>
      <c r="L117" s="2">
        <v>11</v>
      </c>
      <c r="M117" s="2">
        <v>8</v>
      </c>
      <c r="N117" s="2">
        <v>1</v>
      </c>
      <c r="O117" s="2">
        <v>5</v>
      </c>
      <c r="P117" s="2">
        <v>2</v>
      </c>
      <c r="Q117" s="2">
        <v>2</v>
      </c>
      <c r="R117" s="2">
        <v>35</v>
      </c>
      <c r="S117" s="2" t="s">
        <v>29</v>
      </c>
      <c r="T117" t="s">
        <v>41</v>
      </c>
      <c r="U117">
        <v>0.6</v>
      </c>
      <c r="V117">
        <v>0</v>
      </c>
      <c r="W117">
        <v>0</v>
      </c>
      <c r="X117">
        <v>0</v>
      </c>
    </row>
    <row r="118" spans="1:24" x14ac:dyDescent="0.25">
      <c r="A118">
        <v>202600464</v>
      </c>
      <c r="B118"/>
      <c r="C118" t="s">
        <v>270</v>
      </c>
      <c r="D118" s="21">
        <v>46331</v>
      </c>
      <c r="E118" t="s">
        <v>51</v>
      </c>
      <c r="F118">
        <v>45</v>
      </c>
      <c r="G118" s="1">
        <v>46328</v>
      </c>
      <c r="H118" t="s">
        <v>271</v>
      </c>
      <c r="I118" t="s">
        <v>272</v>
      </c>
      <c r="J118" s="2">
        <v>1</v>
      </c>
      <c r="K118" t="s">
        <v>28</v>
      </c>
      <c r="L118" s="2">
        <v>1</v>
      </c>
      <c r="M118" s="2">
        <v>1</v>
      </c>
      <c r="N118" s="2">
        <v>1</v>
      </c>
      <c r="O118" s="2">
        <v>0</v>
      </c>
      <c r="P118" s="2">
        <v>0</v>
      </c>
      <c r="Q118" s="2">
        <v>0</v>
      </c>
      <c r="R118" s="2">
        <v>34</v>
      </c>
      <c r="S118" s="2" t="s">
        <v>9</v>
      </c>
      <c r="T118" t="s">
        <v>92</v>
      </c>
      <c r="U118">
        <v>7.2600000000000007</v>
      </c>
      <c r="V118">
        <v>2.42</v>
      </c>
      <c r="W118">
        <v>0.77</v>
      </c>
      <c r="X118">
        <v>0.55000000000000004</v>
      </c>
    </row>
  </sheetData>
  <phoneticPr fontId="2" type="noConversion"/>
  <conditionalFormatting sqref="D1:D1048576">
    <cfRule type="timePeriod" dxfId="17" priority="1" timePeriod="thisWeek">
      <formula>AND(TODAY()-ROUNDDOWN(D1,0)&lt;=WEEKDAY(TODAY())-1,ROUNDDOWN(D1,0)-TODAY()&lt;=7-WEEKDAY(TODAY()))</formula>
    </cfRule>
  </conditionalFormatting>
  <conditionalFormatting sqref="N2:S118">
    <cfRule type="expression" dxfId="16" priority="26">
      <formula>$S2= "PREGLEJ"</formula>
    </cfRule>
    <cfRule type="expression" dxfId="15" priority="27">
      <formula>$S2= "MANJKA"</formula>
    </cfRule>
    <cfRule type="expression" dxfId="14" priority="28">
      <formula>$S2 = "V DELU"</formula>
    </cfRule>
    <cfRule type="expression" dxfId="13" priority="29">
      <formula>$S2 = "NA ZALOGI"</formula>
    </cfRule>
  </conditionalFormatting>
  <pageMargins left="0.25" right="0.25" top="0.75" bottom="0.75" header="0.3" footer="0.3"/>
  <pageSetup paperSize="9" scale="19"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A6798-5887-4046-B8FF-BE7BD9C6076C}">
  <sheetPr codeName="Sheet4"/>
  <dimension ref="A2:H59"/>
  <sheetViews>
    <sheetView zoomScale="85" zoomScaleNormal="85" workbookViewId="0">
      <selection activeCell="E15" sqref="E15"/>
    </sheetView>
  </sheetViews>
  <sheetFormatPr defaultRowHeight="15" x14ac:dyDescent="0.25"/>
  <cols>
    <col min="1" max="1" width="19" customWidth="1"/>
    <col min="2" max="2" width="48.42578125" bestFit="1" customWidth="1"/>
    <col min="3" max="3" width="33.85546875" bestFit="1" customWidth="1"/>
    <col min="4" max="4" width="17.28515625" bestFit="1" customWidth="1"/>
    <col min="5" max="5" width="48.85546875" bestFit="1" customWidth="1"/>
    <col min="6" max="6" width="43.28515625" bestFit="1" customWidth="1"/>
    <col min="7" max="7" width="14.7109375" bestFit="1" customWidth="1"/>
    <col min="8" max="8" width="40" style="33" bestFit="1" customWidth="1"/>
  </cols>
  <sheetData>
    <row r="2" spans="1:8" x14ac:dyDescent="0.25">
      <c r="A2" s="23" t="s">
        <v>10</v>
      </c>
      <c r="B2" t="s">
        <v>46</v>
      </c>
    </row>
    <row r="4" spans="1:8" x14ac:dyDescent="0.25">
      <c r="A4" s="23" t="s">
        <v>49</v>
      </c>
      <c r="B4" s="23" t="s">
        <v>1</v>
      </c>
      <c r="C4" s="23" t="s">
        <v>40</v>
      </c>
      <c r="D4" s="23" t="s">
        <v>3</v>
      </c>
      <c r="E4" s="23" t="s">
        <v>4</v>
      </c>
      <c r="F4" s="23" t="s">
        <v>0</v>
      </c>
      <c r="G4" t="s">
        <v>20</v>
      </c>
    </row>
    <row r="5" spans="1:8" x14ac:dyDescent="0.25">
      <c r="A5">
        <v>40</v>
      </c>
      <c r="B5" s="1">
        <v>46295</v>
      </c>
      <c r="C5" t="s">
        <v>52</v>
      </c>
      <c r="D5" s="32" t="s">
        <v>56</v>
      </c>
      <c r="E5" s="32" t="s">
        <v>57</v>
      </c>
      <c r="F5" t="s">
        <v>73</v>
      </c>
      <c r="G5">
        <v>3</v>
      </c>
    </row>
    <row r="6" spans="1:8" x14ac:dyDescent="0.25">
      <c r="D6" s="32" t="s">
        <v>83</v>
      </c>
      <c r="E6" s="32" t="s">
        <v>84</v>
      </c>
      <c r="F6" t="s">
        <v>73</v>
      </c>
      <c r="G6">
        <v>1</v>
      </c>
    </row>
    <row r="7" spans="1:8" x14ac:dyDescent="0.25">
      <c r="C7" t="s">
        <v>47</v>
      </c>
      <c r="D7" s="34" t="s">
        <v>24</v>
      </c>
      <c r="E7" s="34" t="s">
        <v>25</v>
      </c>
      <c r="F7" t="s">
        <v>209</v>
      </c>
      <c r="G7">
        <v>4</v>
      </c>
    </row>
    <row r="8" spans="1:8" x14ac:dyDescent="0.25">
      <c r="D8" s="34"/>
      <c r="E8" s="34"/>
      <c r="F8" t="s">
        <v>114</v>
      </c>
      <c r="G8">
        <v>1</v>
      </c>
    </row>
    <row r="9" spans="1:8" x14ac:dyDescent="0.25">
      <c r="D9" s="32" t="s">
        <v>76</v>
      </c>
      <c r="E9" s="32" t="s">
        <v>77</v>
      </c>
      <c r="F9" t="s">
        <v>73</v>
      </c>
      <c r="G9">
        <v>2</v>
      </c>
    </row>
    <row r="10" spans="1:8" x14ac:dyDescent="0.25">
      <c r="D10" s="32" t="s">
        <v>78</v>
      </c>
      <c r="E10" s="32" t="s">
        <v>79</v>
      </c>
      <c r="F10" t="s">
        <v>73</v>
      </c>
      <c r="G10">
        <v>5</v>
      </c>
    </row>
    <row r="11" spans="1:8" x14ac:dyDescent="0.25">
      <c r="D11" s="34" t="s">
        <v>96</v>
      </c>
      <c r="E11" s="34" t="s">
        <v>97</v>
      </c>
      <c r="F11" t="s">
        <v>95</v>
      </c>
      <c r="G11">
        <v>2</v>
      </c>
    </row>
    <row r="12" spans="1:8" x14ac:dyDescent="0.25">
      <c r="D12" s="34" t="s">
        <v>98</v>
      </c>
      <c r="E12" s="34" t="s">
        <v>99</v>
      </c>
      <c r="F12" t="s">
        <v>95</v>
      </c>
      <c r="G12">
        <v>2</v>
      </c>
    </row>
    <row r="13" spans="1:8" x14ac:dyDescent="0.25">
      <c r="D13" s="34" t="s">
        <v>235</v>
      </c>
      <c r="E13" s="34" t="s">
        <v>236</v>
      </c>
      <c r="F13" t="s">
        <v>209</v>
      </c>
      <c r="G13">
        <v>2</v>
      </c>
    </row>
    <row r="14" spans="1:8" x14ac:dyDescent="0.25">
      <c r="C14" t="s">
        <v>92</v>
      </c>
      <c r="D14" s="34" t="s">
        <v>168</v>
      </c>
      <c r="E14" s="34" t="s">
        <v>169</v>
      </c>
      <c r="F14" t="s">
        <v>165</v>
      </c>
      <c r="G14">
        <v>1</v>
      </c>
      <c r="H14" s="43"/>
    </row>
    <row r="15" spans="1:8" x14ac:dyDescent="0.25">
      <c r="B15" s="1">
        <v>46297</v>
      </c>
      <c r="C15" t="s">
        <v>52</v>
      </c>
      <c r="D15" s="34" t="s">
        <v>176</v>
      </c>
      <c r="E15" s="34" t="s">
        <v>177</v>
      </c>
      <c r="F15" t="s">
        <v>55</v>
      </c>
      <c r="G15">
        <v>1</v>
      </c>
      <c r="H15" s="43"/>
    </row>
    <row r="16" spans="1:8" x14ac:dyDescent="0.25">
      <c r="C16" t="s">
        <v>47</v>
      </c>
      <c r="D16" s="34" t="s">
        <v>62</v>
      </c>
      <c r="E16" s="34" t="s">
        <v>63</v>
      </c>
      <c r="F16" t="s">
        <v>55</v>
      </c>
      <c r="G16">
        <v>2</v>
      </c>
      <c r="H16" s="43"/>
    </row>
    <row r="17" spans="1:8" x14ac:dyDescent="0.25">
      <c r="D17" s="34" t="s">
        <v>60</v>
      </c>
      <c r="E17" s="34" t="s">
        <v>61</v>
      </c>
      <c r="F17" t="s">
        <v>55</v>
      </c>
      <c r="G17">
        <v>1</v>
      </c>
      <c r="H17" s="43"/>
    </row>
    <row r="18" spans="1:8" x14ac:dyDescent="0.25">
      <c r="D18" s="34" t="s">
        <v>76</v>
      </c>
      <c r="E18" s="34" t="s">
        <v>77</v>
      </c>
      <c r="F18" t="s">
        <v>173</v>
      </c>
      <c r="G18">
        <v>2</v>
      </c>
    </row>
    <row r="19" spans="1:8" x14ac:dyDescent="0.25">
      <c r="D19" s="34" t="s">
        <v>122</v>
      </c>
      <c r="E19" s="34" t="s">
        <v>123</v>
      </c>
      <c r="F19" t="s">
        <v>121</v>
      </c>
      <c r="G19">
        <v>1</v>
      </c>
    </row>
    <row r="20" spans="1:8" x14ac:dyDescent="0.25">
      <c r="D20" s="34" t="s">
        <v>154</v>
      </c>
      <c r="E20" s="34" t="s">
        <v>155</v>
      </c>
      <c r="F20" t="s">
        <v>23</v>
      </c>
      <c r="G20">
        <v>1</v>
      </c>
    </row>
    <row r="21" spans="1:8" x14ac:dyDescent="0.25">
      <c r="C21" t="s">
        <v>92</v>
      </c>
      <c r="D21" s="25" t="s">
        <v>90</v>
      </c>
      <c r="E21" s="25" t="s">
        <v>91</v>
      </c>
      <c r="F21" t="s">
        <v>55</v>
      </c>
      <c r="G21">
        <v>2</v>
      </c>
    </row>
    <row r="22" spans="1:8" x14ac:dyDescent="0.25">
      <c r="B22" s="1">
        <v>46293</v>
      </c>
      <c r="C22" t="s">
        <v>52</v>
      </c>
      <c r="D22" s="34" t="s">
        <v>56</v>
      </c>
      <c r="E22" s="34" t="s">
        <v>57</v>
      </c>
      <c r="F22" t="s">
        <v>23</v>
      </c>
      <c r="G22">
        <v>1</v>
      </c>
    </row>
    <row r="23" spans="1:8" x14ac:dyDescent="0.25">
      <c r="C23" t="s">
        <v>47</v>
      </c>
      <c r="D23" s="34" t="s">
        <v>24</v>
      </c>
      <c r="E23" s="34" t="s">
        <v>25</v>
      </c>
      <c r="F23" t="s">
        <v>23</v>
      </c>
      <c r="G23">
        <v>1</v>
      </c>
    </row>
    <row r="24" spans="1:8" x14ac:dyDescent="0.25">
      <c r="A24">
        <v>41</v>
      </c>
      <c r="B24" s="1">
        <v>46305</v>
      </c>
      <c r="C24" t="s">
        <v>148</v>
      </c>
      <c r="D24" s="25" t="s">
        <v>156</v>
      </c>
      <c r="E24" s="25" t="s">
        <v>157</v>
      </c>
      <c r="F24" t="s">
        <v>147</v>
      </c>
      <c r="G24">
        <v>1</v>
      </c>
      <c r="H24" s="43"/>
    </row>
    <row r="25" spans="1:8" x14ac:dyDescent="0.25">
      <c r="B25" s="1">
        <v>46303</v>
      </c>
      <c r="C25" t="s">
        <v>243</v>
      </c>
      <c r="D25" s="34" t="s">
        <v>241</v>
      </c>
      <c r="E25" s="34" t="s">
        <v>242</v>
      </c>
      <c r="F25" t="s">
        <v>36</v>
      </c>
      <c r="G25">
        <v>8</v>
      </c>
      <c r="H25" s="43"/>
    </row>
    <row r="26" spans="1:8" x14ac:dyDescent="0.25">
      <c r="A26">
        <v>42</v>
      </c>
      <c r="B26" s="1">
        <v>46310</v>
      </c>
      <c r="C26" t="s">
        <v>52</v>
      </c>
      <c r="D26" s="16" t="s">
        <v>225</v>
      </c>
      <c r="E26" s="16" t="s">
        <v>226</v>
      </c>
      <c r="F26" t="s">
        <v>220</v>
      </c>
      <c r="G26">
        <v>1</v>
      </c>
    </row>
    <row r="27" spans="1:8" x14ac:dyDescent="0.25">
      <c r="D27" t="s">
        <v>231</v>
      </c>
      <c r="E27" t="s">
        <v>232</v>
      </c>
      <c r="F27" t="s">
        <v>220</v>
      </c>
      <c r="G27">
        <v>1</v>
      </c>
    </row>
    <row r="28" spans="1:8" x14ac:dyDescent="0.25">
      <c r="C28" t="s">
        <v>47</v>
      </c>
      <c r="D28" s="34" t="s">
        <v>24</v>
      </c>
      <c r="E28" s="34" t="s">
        <v>25</v>
      </c>
      <c r="F28" t="s">
        <v>220</v>
      </c>
      <c r="G28">
        <v>1</v>
      </c>
    </row>
    <row r="29" spans="1:8" x14ac:dyDescent="0.25">
      <c r="D29" s="16" t="s">
        <v>223</v>
      </c>
      <c r="E29" s="16" t="s">
        <v>224</v>
      </c>
      <c r="F29" t="s">
        <v>220</v>
      </c>
      <c r="G29">
        <v>1</v>
      </c>
    </row>
    <row r="30" spans="1:8" x14ac:dyDescent="0.25">
      <c r="D30" s="16" t="s">
        <v>96</v>
      </c>
      <c r="E30" s="16" t="s">
        <v>97</v>
      </c>
      <c r="F30" t="s">
        <v>220</v>
      </c>
      <c r="G30">
        <v>2</v>
      </c>
    </row>
    <row r="31" spans="1:8" x14ac:dyDescent="0.25">
      <c r="D31" s="34" t="s">
        <v>141</v>
      </c>
      <c r="E31" s="34" t="s">
        <v>142</v>
      </c>
      <c r="F31" t="s">
        <v>220</v>
      </c>
      <c r="G31">
        <v>1</v>
      </c>
    </row>
    <row r="32" spans="1:8" x14ac:dyDescent="0.25">
      <c r="D32" s="34" t="s">
        <v>154</v>
      </c>
      <c r="E32" s="34" t="s">
        <v>155</v>
      </c>
      <c r="F32" t="s">
        <v>182</v>
      </c>
      <c r="G32">
        <v>1</v>
      </c>
    </row>
    <row r="33" spans="1:7" x14ac:dyDescent="0.25">
      <c r="C33" t="s">
        <v>92</v>
      </c>
      <c r="D33" s="16" t="s">
        <v>139</v>
      </c>
      <c r="E33" s="16" t="s">
        <v>140</v>
      </c>
      <c r="F33" t="s">
        <v>220</v>
      </c>
      <c r="G33">
        <v>1</v>
      </c>
    </row>
    <row r="34" spans="1:7" x14ac:dyDescent="0.25">
      <c r="B34" s="1">
        <v>46311</v>
      </c>
      <c r="C34" t="s">
        <v>47</v>
      </c>
      <c r="D34" s="34" t="s">
        <v>62</v>
      </c>
      <c r="E34" s="34" t="s">
        <v>63</v>
      </c>
      <c r="F34" t="s">
        <v>55</v>
      </c>
      <c r="G34">
        <v>4</v>
      </c>
    </row>
    <row r="35" spans="1:7" x14ac:dyDescent="0.25">
      <c r="D35" s="34" t="s">
        <v>60</v>
      </c>
      <c r="E35" s="34" t="s">
        <v>61</v>
      </c>
      <c r="F35" t="s">
        <v>55</v>
      </c>
      <c r="G35">
        <v>2</v>
      </c>
    </row>
    <row r="36" spans="1:7" x14ac:dyDescent="0.25">
      <c r="D36" s="34" t="s">
        <v>106</v>
      </c>
      <c r="E36" s="34" t="s">
        <v>107</v>
      </c>
      <c r="F36" t="s">
        <v>55</v>
      </c>
      <c r="G36">
        <v>4</v>
      </c>
    </row>
    <row r="37" spans="1:7" x14ac:dyDescent="0.25">
      <c r="D37" s="34" t="s">
        <v>104</v>
      </c>
      <c r="E37" s="34" t="s">
        <v>105</v>
      </c>
      <c r="F37" t="s">
        <v>55</v>
      </c>
      <c r="G37">
        <v>2</v>
      </c>
    </row>
    <row r="38" spans="1:7" x14ac:dyDescent="0.25">
      <c r="B38" s="1">
        <v>46307</v>
      </c>
      <c r="C38" t="s">
        <v>47</v>
      </c>
      <c r="D38" s="34" t="s">
        <v>87</v>
      </c>
      <c r="E38" s="34" t="s">
        <v>88</v>
      </c>
      <c r="F38" t="s">
        <v>159</v>
      </c>
      <c r="G38">
        <v>1</v>
      </c>
    </row>
    <row r="39" spans="1:7" x14ac:dyDescent="0.25">
      <c r="B39" s="1">
        <v>46308</v>
      </c>
      <c r="C39" t="s">
        <v>43</v>
      </c>
      <c r="D39" s="34" t="s">
        <v>37</v>
      </c>
      <c r="E39" s="34" t="s">
        <v>38</v>
      </c>
      <c r="F39" t="s">
        <v>219</v>
      </c>
      <c r="G39">
        <v>7</v>
      </c>
    </row>
    <row r="40" spans="1:7" x14ac:dyDescent="0.25">
      <c r="C40" t="s">
        <v>47</v>
      </c>
      <c r="D40" s="34" t="s">
        <v>24</v>
      </c>
      <c r="E40" s="34" t="s">
        <v>25</v>
      </c>
      <c r="F40" t="s">
        <v>219</v>
      </c>
      <c r="G40">
        <v>7</v>
      </c>
    </row>
    <row r="41" spans="1:7" x14ac:dyDescent="0.25">
      <c r="A41">
        <v>43</v>
      </c>
      <c r="B41" s="1">
        <v>46315</v>
      </c>
      <c r="C41" t="s">
        <v>47</v>
      </c>
      <c r="D41" t="s">
        <v>24</v>
      </c>
      <c r="E41" t="s">
        <v>25</v>
      </c>
      <c r="F41" t="s">
        <v>36</v>
      </c>
      <c r="G41">
        <v>1</v>
      </c>
    </row>
    <row r="42" spans="1:7" x14ac:dyDescent="0.25">
      <c r="D42" t="s">
        <v>117</v>
      </c>
      <c r="E42" t="s">
        <v>118</v>
      </c>
      <c r="F42" t="s">
        <v>36</v>
      </c>
      <c r="G42">
        <v>1</v>
      </c>
    </row>
    <row r="43" spans="1:7" x14ac:dyDescent="0.25">
      <c r="C43" t="s">
        <v>92</v>
      </c>
      <c r="D43" t="s">
        <v>90</v>
      </c>
      <c r="E43" t="s">
        <v>91</v>
      </c>
      <c r="F43" t="s">
        <v>55</v>
      </c>
      <c r="G43">
        <v>2</v>
      </c>
    </row>
    <row r="44" spans="1:7" x14ac:dyDescent="0.25">
      <c r="B44" s="1">
        <v>46318</v>
      </c>
      <c r="C44" t="s">
        <v>47</v>
      </c>
      <c r="D44" t="s">
        <v>62</v>
      </c>
      <c r="E44" t="s">
        <v>63</v>
      </c>
      <c r="F44" t="s">
        <v>55</v>
      </c>
      <c r="G44">
        <v>2</v>
      </c>
    </row>
    <row r="45" spans="1:7" x14ac:dyDescent="0.25">
      <c r="D45" t="s">
        <v>60</v>
      </c>
      <c r="E45" t="s">
        <v>61</v>
      </c>
      <c r="F45" t="s">
        <v>55</v>
      </c>
      <c r="G45">
        <v>2</v>
      </c>
    </row>
    <row r="46" spans="1:7" x14ac:dyDescent="0.25">
      <c r="D46" t="s">
        <v>76</v>
      </c>
      <c r="E46" t="s">
        <v>77</v>
      </c>
      <c r="F46" t="s">
        <v>173</v>
      </c>
      <c r="G46">
        <v>2</v>
      </c>
    </row>
    <row r="47" spans="1:7" x14ac:dyDescent="0.25">
      <c r="C47" t="s">
        <v>92</v>
      </c>
      <c r="D47" t="s">
        <v>90</v>
      </c>
      <c r="E47" t="s">
        <v>91</v>
      </c>
      <c r="F47" t="s">
        <v>55</v>
      </c>
      <c r="G47">
        <v>2</v>
      </c>
    </row>
    <row r="48" spans="1:7" x14ac:dyDescent="0.25">
      <c r="A48">
        <v>44</v>
      </c>
      <c r="B48" s="1">
        <v>46321</v>
      </c>
      <c r="C48" t="s">
        <v>92</v>
      </c>
      <c r="D48" t="s">
        <v>139</v>
      </c>
      <c r="E48" t="s">
        <v>140</v>
      </c>
      <c r="F48" t="s">
        <v>244</v>
      </c>
      <c r="G48">
        <v>1</v>
      </c>
    </row>
    <row r="49" spans="1:7" x14ac:dyDescent="0.25">
      <c r="B49" s="1">
        <v>46323</v>
      </c>
      <c r="C49" t="s">
        <v>43</v>
      </c>
      <c r="D49" t="s">
        <v>37</v>
      </c>
      <c r="E49" t="s">
        <v>38</v>
      </c>
      <c r="F49" t="s">
        <v>23</v>
      </c>
      <c r="G49">
        <v>2</v>
      </c>
    </row>
    <row r="50" spans="1:7" x14ac:dyDescent="0.25">
      <c r="C50" t="s">
        <v>47</v>
      </c>
      <c r="D50" t="s">
        <v>246</v>
      </c>
      <c r="E50" t="s">
        <v>247</v>
      </c>
      <c r="F50" t="s">
        <v>23</v>
      </c>
      <c r="G50">
        <v>1</v>
      </c>
    </row>
    <row r="51" spans="1:7" x14ac:dyDescent="0.25">
      <c r="D51" t="s">
        <v>248</v>
      </c>
      <c r="E51" t="s">
        <v>249</v>
      </c>
      <c r="F51" t="s">
        <v>23</v>
      </c>
      <c r="G51">
        <v>2</v>
      </c>
    </row>
    <row r="52" spans="1:7" x14ac:dyDescent="0.25">
      <c r="C52" t="s">
        <v>148</v>
      </c>
      <c r="D52" t="s">
        <v>250</v>
      </c>
      <c r="E52" t="s">
        <v>251</v>
      </c>
      <c r="F52" t="s">
        <v>23</v>
      </c>
      <c r="G52">
        <v>1</v>
      </c>
    </row>
    <row r="53" spans="1:7" x14ac:dyDescent="0.25">
      <c r="B53" s="1">
        <v>46325</v>
      </c>
      <c r="C53" t="s">
        <v>43</v>
      </c>
      <c r="D53" t="s">
        <v>37</v>
      </c>
      <c r="E53" t="s">
        <v>38</v>
      </c>
      <c r="F53" t="s">
        <v>209</v>
      </c>
      <c r="G53">
        <v>6</v>
      </c>
    </row>
    <row r="54" spans="1:7" x14ac:dyDescent="0.25">
      <c r="C54" t="s">
        <v>52</v>
      </c>
      <c r="D54" t="s">
        <v>56</v>
      </c>
      <c r="E54" t="s">
        <v>57</v>
      </c>
      <c r="F54" t="s">
        <v>23</v>
      </c>
      <c r="G54">
        <v>1</v>
      </c>
    </row>
    <row r="55" spans="1:7" x14ac:dyDescent="0.25">
      <c r="C55" t="s">
        <v>47</v>
      </c>
      <c r="D55" t="s">
        <v>24</v>
      </c>
      <c r="E55" t="s">
        <v>25</v>
      </c>
      <c r="F55" t="s">
        <v>23</v>
      </c>
      <c r="G55">
        <v>1</v>
      </c>
    </row>
    <row r="56" spans="1:7" x14ac:dyDescent="0.25">
      <c r="F56" t="s">
        <v>209</v>
      </c>
      <c r="G56">
        <v>7</v>
      </c>
    </row>
    <row r="57" spans="1:7" x14ac:dyDescent="0.25">
      <c r="D57" t="s">
        <v>235</v>
      </c>
      <c r="E57" t="s">
        <v>236</v>
      </c>
      <c r="F57" t="s">
        <v>209</v>
      </c>
      <c r="G57">
        <v>1</v>
      </c>
    </row>
    <row r="58" spans="1:7" x14ac:dyDescent="0.25">
      <c r="C58" t="s">
        <v>92</v>
      </c>
      <c r="D58" t="s">
        <v>260</v>
      </c>
      <c r="E58" t="s">
        <v>261</v>
      </c>
      <c r="F58" t="s">
        <v>259</v>
      </c>
      <c r="G58">
        <v>1</v>
      </c>
    </row>
    <row r="59" spans="1:7" x14ac:dyDescent="0.25">
      <c r="A59" t="s">
        <v>19</v>
      </c>
      <c r="G59">
        <v>116</v>
      </c>
    </row>
  </sheetData>
  <mergeCells count="3">
    <mergeCell ref="H14:H15"/>
    <mergeCell ref="H16:H17"/>
    <mergeCell ref="H24:H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CD48-4689-4FF2-A4D9-E534D093C79D}">
  <dimension ref="A1:M7"/>
  <sheetViews>
    <sheetView workbookViewId="0">
      <selection activeCell="C4" sqref="C4"/>
    </sheetView>
  </sheetViews>
  <sheetFormatPr defaultRowHeight="15" x14ac:dyDescent="0.25"/>
  <cols>
    <col min="1" max="1" width="22.85546875" customWidth="1"/>
    <col min="2" max="2" width="16.42578125" bestFit="1" customWidth="1"/>
    <col min="3" max="3" width="18" customWidth="1"/>
    <col min="4" max="4" width="21.7109375" customWidth="1"/>
    <col min="8" max="8" width="10.7109375" customWidth="1"/>
    <col min="9" max="9" width="13.7109375" customWidth="1"/>
    <col min="10" max="10" width="14" customWidth="1"/>
  </cols>
  <sheetData>
    <row r="1" spans="1:13" ht="47.25" x14ac:dyDescent="0.25">
      <c r="A1" s="27" t="s">
        <v>197</v>
      </c>
      <c r="B1" s="28" t="s">
        <v>195</v>
      </c>
      <c r="C1" s="30" t="s">
        <v>196</v>
      </c>
      <c r="D1" s="31" t="s">
        <v>208</v>
      </c>
      <c r="H1" s="44" t="s">
        <v>198</v>
      </c>
      <c r="I1" s="44"/>
      <c r="J1" s="44"/>
      <c r="K1" s="44"/>
      <c r="L1" s="44"/>
      <c r="M1" s="44"/>
    </row>
    <row r="2" spans="1:13" x14ac:dyDescent="0.25">
      <c r="A2" t="str">
        <f ca="1">IF(ISNUMBER(B2),TEXT(DATE(YEAR(TODAY()),1,4)-WEEKDAY(DATE(YEAR(TODAY()),1,4),2)+1+7*(B2-1),"dd.mm.yyyy")&amp;" - "&amp;TEXT(DATE(YEAR(TODAY()),1,4)-WEEKDAY(DATE(YEAR(TODAY()),1,4),2)+5+7*(B2-1),"dd.mm.yyyy"),"")</f>
        <v>28.09.2026 - 02.10.2026</v>
      </c>
      <c r="B2" s="2">
        <v>40</v>
      </c>
      <c r="C2" s="2">
        <v>288.66000000000003</v>
      </c>
      <c r="D2" s="2">
        <f>$L$4-$C2</f>
        <v>-158.66000000000003</v>
      </c>
      <c r="H2" s="29" t="s">
        <v>199</v>
      </c>
      <c r="I2" s="29" t="s">
        <v>200</v>
      </c>
      <c r="J2" s="29" t="s">
        <v>201</v>
      </c>
      <c r="K2" s="29" t="s">
        <v>2</v>
      </c>
      <c r="L2" s="29" t="s">
        <v>202</v>
      </c>
      <c r="M2" s="29" t="s">
        <v>203</v>
      </c>
    </row>
    <row r="3" spans="1:13" x14ac:dyDescent="0.25">
      <c r="A3" t="str">
        <f t="shared" ref="A3:A6" ca="1" si="0">IF(ISNUMBER(B3),TEXT(DATE(YEAR(TODAY()),1,4)-WEEKDAY(DATE(YEAR(TODAY()),1,4),2)+1+7*(B3-1),"dd.mm.yyyy")&amp;" - "&amp;TEXT(DATE(YEAR(TODAY()),1,4)-WEEKDAY(DATE(YEAR(TODAY()),1,4),2)+5+7*(B3-1),"dd.mm.yyyy"),"")</f>
        <v>05.10.2026 - 09.10.2026</v>
      </c>
      <c r="B3" s="2">
        <v>41</v>
      </c>
      <c r="C3" s="2">
        <v>13.28</v>
      </c>
      <c r="D3" s="2">
        <f t="shared" ref="D3:D6" si="1">$L$4-$C3</f>
        <v>116.72</v>
      </c>
      <c r="H3" s="29" t="s">
        <v>204</v>
      </c>
      <c r="I3" s="29">
        <v>10</v>
      </c>
      <c r="J3" s="29">
        <v>6.5</v>
      </c>
      <c r="K3" s="29">
        <f>Table2[[#This Row],[Število ljudi]]*Table2[[#This Row],[Delovne ure]]</f>
        <v>65</v>
      </c>
      <c r="L3" s="29">
        <f>Table2[[#This Row],[Dan]]*5</f>
        <v>325</v>
      </c>
      <c r="M3" s="29">
        <f>Table2[[#This Row],[Teden]]*4</f>
        <v>1300</v>
      </c>
    </row>
    <row r="4" spans="1:13" x14ac:dyDescent="0.25">
      <c r="A4" t="str">
        <f t="shared" ca="1" si="0"/>
        <v>12.10.2026 - 16.10.2026</v>
      </c>
      <c r="B4" s="2">
        <v>42</v>
      </c>
      <c r="C4" s="2">
        <v>151.20000000000005</v>
      </c>
      <c r="D4" s="2">
        <f t="shared" si="1"/>
        <v>-21.200000000000045</v>
      </c>
      <c r="H4" s="29" t="s">
        <v>205</v>
      </c>
      <c r="I4" s="29">
        <v>4</v>
      </c>
      <c r="J4" s="29">
        <v>6.5</v>
      </c>
      <c r="K4" s="29">
        <f>Table2[[#This Row],[Število ljudi]]*Table2[[#This Row],[Delovne ure]]</f>
        <v>26</v>
      </c>
      <c r="L4" s="29">
        <f>Table2[[#This Row],[Dan]]*5</f>
        <v>130</v>
      </c>
      <c r="M4" s="29">
        <f>Table2[[#This Row],[Teden]]*4</f>
        <v>520</v>
      </c>
    </row>
    <row r="5" spans="1:13" x14ac:dyDescent="0.25">
      <c r="A5" t="str">
        <f t="shared" ca="1" si="0"/>
        <v>19.10.2026 - 23.10.2026</v>
      </c>
      <c r="B5" s="2">
        <v>43</v>
      </c>
      <c r="C5" s="2">
        <v>56.490000000000009</v>
      </c>
      <c r="D5" s="2">
        <f t="shared" si="1"/>
        <v>73.509999999999991</v>
      </c>
      <c r="H5" s="29" t="s">
        <v>206</v>
      </c>
      <c r="I5" s="29">
        <v>1</v>
      </c>
      <c r="J5" s="29">
        <v>6.5</v>
      </c>
      <c r="K5" s="29">
        <f>Table2[[#This Row],[Število ljudi]]*Table2[[#This Row],[Delovne ure]]</f>
        <v>6.5</v>
      </c>
      <c r="L5" s="29">
        <f>Table2[[#This Row],[Dan]]*5</f>
        <v>32.5</v>
      </c>
      <c r="M5" s="29">
        <f>Table2[[#This Row],[Teden]]*4</f>
        <v>130</v>
      </c>
    </row>
    <row r="6" spans="1:13" x14ac:dyDescent="0.25">
      <c r="A6" t="str">
        <f t="shared" ca="1" si="0"/>
        <v>26.10.2026 - 30.10.2026</v>
      </c>
      <c r="B6" s="2">
        <v>44</v>
      </c>
      <c r="C6" s="2">
        <v>121.03</v>
      </c>
      <c r="D6" s="2">
        <f t="shared" si="1"/>
        <v>8.9699999999999989</v>
      </c>
      <c r="H6" s="29" t="s">
        <v>207</v>
      </c>
      <c r="I6" s="29">
        <v>1</v>
      </c>
      <c r="J6" s="29">
        <v>6.5</v>
      </c>
      <c r="K6" s="29">
        <f>Table2[[#This Row],[Število ljudi]]*Table2[[#This Row],[Delovne ure]]</f>
        <v>6.5</v>
      </c>
      <c r="L6" s="29">
        <f>Table2[[#This Row],[Dan]]*5</f>
        <v>32.5</v>
      </c>
      <c r="M6" s="29">
        <f>Table2[[#This Row],[Teden]]*4</f>
        <v>130</v>
      </c>
    </row>
    <row r="7" spans="1:13" x14ac:dyDescent="0.25">
      <c r="B7" s="26" t="s">
        <v>19</v>
      </c>
      <c r="C7">
        <v>630.66000000000008</v>
      </c>
    </row>
  </sheetData>
  <mergeCells count="1">
    <mergeCell ref="H1:M1"/>
  </mergeCells>
  <conditionalFormatting sqref="D1:D1048576">
    <cfRule type="cellIs" dxfId="12" priority="2" operator="lessThan">
      <formula>0</formula>
    </cfRule>
  </conditionalFormatting>
  <conditionalFormatting sqref="D2:D999">
    <cfRule type="cellIs" dxfId="11" priority="1" operator="greaterThan">
      <formula>0</formula>
    </cfRule>
  </conditionalFormatting>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3"/>
  <sheetViews>
    <sheetView workbookViewId="0">
      <selection activeCell="B3" sqref="B3"/>
    </sheetView>
  </sheetViews>
  <sheetFormatPr defaultRowHeight="15" x14ac:dyDescent="0.25"/>
  <cols>
    <col min="1" max="1" width="14.85546875" customWidth="1"/>
  </cols>
  <sheetData>
    <row r="1" spans="1:3" x14ac:dyDescent="0.25">
      <c r="A1" t="s">
        <v>13</v>
      </c>
      <c r="B1" t="str" cm="1">
        <f t="array" aca="1" ref="B1" ca="1">LEFT(CELL("filename",B1),FIND("[",CELL("filename",B1))-1)</f>
        <v>https://finesdoo.sharepoint.com/teams/MFG-B/Dokumenti v skupni rabi/Proizvodnja/Planiranje/Dnevni in tedenski plan/</v>
      </c>
      <c r="C1" s="3" t="s">
        <v>14</v>
      </c>
    </row>
    <row r="2" spans="1:3" x14ac:dyDescent="0.25">
      <c r="A2" t="s">
        <v>21</v>
      </c>
      <c r="B2" t="str">
        <f ca="1">TEXT(TODAY()-WEEKDAY(TODAY(),2)+1,"dd.mm.yyyy")&amp;" - "&amp;TEXT(TODAY()-WEEKDAY(TODAY(),2)+5,"dd.mm.yyyy")</f>
        <v>05.10.2026 - 09.10.2026</v>
      </c>
    </row>
    <row r="3" spans="1:3" x14ac:dyDescent="0.25">
      <c r="A3" t="s">
        <v>48</v>
      </c>
      <c r="B3">
        <v>5</v>
      </c>
    </row>
  </sheetData>
  <hyperlinks>
    <hyperlink ref="C1" r:id="rId1" xr:uid="{718F8A3C-72A3-43CF-ADE6-0B97DD6FCEE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F1E4-44A8-49C7-951D-4AA0F7012BB1}">
  <sheetPr codeName="Sheet3"/>
  <dimension ref="E1:V86"/>
  <sheetViews>
    <sheetView view="pageLayout" topLeftCell="E2" zoomScaleNormal="100" workbookViewId="0">
      <selection activeCell="G19" sqref="G19"/>
    </sheetView>
  </sheetViews>
  <sheetFormatPr defaultColWidth="9.140625" defaultRowHeight="18.75" x14ac:dyDescent="0.3"/>
  <cols>
    <col min="1" max="4" width="0" hidden="1" customWidth="1"/>
    <col min="5" max="5" width="16.5703125" style="4" customWidth="1"/>
    <col min="6" max="6" width="52.85546875" style="11" customWidth="1"/>
    <col min="7" max="7" width="39.42578125" style="4" customWidth="1"/>
    <col min="8" max="8" width="16.140625" style="5" bestFit="1" customWidth="1"/>
    <col min="9" max="9" width="17.42578125" style="5" bestFit="1" customWidth="1"/>
    <col min="10" max="10" width="4.42578125" style="5" bestFit="1" customWidth="1"/>
    <col min="11" max="11" width="14.5703125" style="14" customWidth="1"/>
    <col min="12" max="12" width="51.5703125" style="4" customWidth="1"/>
    <col min="13" max="13" width="40.42578125" style="4" customWidth="1"/>
    <col min="14" max="14" width="14.42578125" style="5" bestFit="1" customWidth="1"/>
    <col min="15" max="15" width="17.42578125" style="2" bestFit="1" customWidth="1"/>
    <col min="16" max="16" width="3.28515625" bestFit="1" customWidth="1"/>
    <col min="17" max="17" width="17.42578125" style="14" customWidth="1"/>
    <col min="18" max="18" width="48.28515625" style="4" customWidth="1"/>
    <col min="19" max="19" width="44.7109375" style="4" customWidth="1"/>
    <col min="20" max="20" width="17.42578125" style="5" bestFit="1" customWidth="1"/>
    <col min="21" max="21" width="17.42578125" style="2" bestFit="1" customWidth="1"/>
    <col min="22" max="22" width="8.7109375" bestFit="1" customWidth="1"/>
  </cols>
  <sheetData>
    <row r="1" spans="5:22" hidden="1" x14ac:dyDescent="0.3"/>
    <row r="2" spans="5:22" ht="21.75" customHeight="1" x14ac:dyDescent="0.25">
      <c r="E2" s="45" t="str">
        <f ca="1" xml:space="preserve"> "PRIORITETE (" &amp; Nastavitve!B2 &amp; ")"</f>
        <v>PRIORITETE (05.10.2026 - 09.10.2026)</v>
      </c>
      <c r="F2" s="45"/>
      <c r="G2" s="45"/>
      <c r="H2" s="45"/>
      <c r="I2" s="45"/>
      <c r="J2" s="6"/>
      <c r="K2" s="46" t="str">
        <f ca="1" xml:space="preserve"> "NA ZALOGI (" &amp; Nastavitve!B2 &amp; ")"</f>
        <v>NA ZALOGI (05.10.2026 - 09.10.2026)</v>
      </c>
      <c r="L2" s="46"/>
      <c r="M2" s="46"/>
      <c r="N2" s="46"/>
      <c r="O2" s="46"/>
      <c r="P2" s="8"/>
      <c r="Q2" s="47" t="str">
        <f ca="1" xml:space="preserve"> "MANJKA (" &amp; Nastavitve!B2 &amp; ")"</f>
        <v>MANJKA (05.10.2026 - 09.10.2026)</v>
      </c>
      <c r="R2" s="47"/>
      <c r="S2" s="47"/>
      <c r="T2" s="47"/>
      <c r="U2" s="47"/>
    </row>
    <row r="3" spans="5:22" ht="21.75" customHeight="1" x14ac:dyDescent="0.25">
      <c r="E3" s="45"/>
      <c r="F3" s="45"/>
      <c r="G3" s="45"/>
      <c r="H3" s="45"/>
      <c r="I3" s="45"/>
      <c r="J3" s="6"/>
      <c r="K3" s="46"/>
      <c r="L3" s="46"/>
      <c r="M3" s="46"/>
      <c r="N3" s="46"/>
      <c r="O3" s="46"/>
      <c r="P3" s="8"/>
      <c r="Q3" s="47"/>
      <c r="R3" s="47"/>
      <c r="S3" s="47"/>
      <c r="T3" s="47"/>
      <c r="U3" s="47"/>
    </row>
    <row r="4" spans="5:22" x14ac:dyDescent="0.3">
      <c r="E4" s="35" t="s">
        <v>10</v>
      </c>
      <c r="F4" s="36" t="s">
        <v>8</v>
      </c>
      <c r="G4" s="12"/>
      <c r="H4" s="12"/>
      <c r="I4" s="20"/>
      <c r="K4" s="41" t="s">
        <v>10</v>
      </c>
      <c r="L4" s="36" t="s">
        <v>9</v>
      </c>
      <c r="M4" s="7"/>
      <c r="N4" s="7"/>
      <c r="O4" s="15"/>
      <c r="Q4" s="35" t="s">
        <v>10</v>
      </c>
      <c r="R4" s="36" t="s">
        <v>22</v>
      </c>
      <c r="S4" s="10"/>
      <c r="T4" s="16"/>
      <c r="U4" s="17"/>
    </row>
    <row r="5" spans="5:22" x14ac:dyDescent="0.3">
      <c r="E5" s="12"/>
      <c r="F5" s="13"/>
      <c r="G5" s="12"/>
      <c r="H5" s="12"/>
      <c r="I5" s="20"/>
      <c r="K5" s="18"/>
      <c r="L5" s="9"/>
      <c r="M5" s="7"/>
      <c r="N5" s="7"/>
      <c r="O5" s="15"/>
      <c r="Q5" s="19"/>
      <c r="R5" s="10"/>
      <c r="S5" s="10"/>
      <c r="T5" s="16"/>
      <c r="U5" s="17"/>
    </row>
    <row r="6" spans="5:22" ht="110.25" x14ac:dyDescent="0.25">
      <c r="E6" s="35" t="s">
        <v>39</v>
      </c>
      <c r="F6" s="37" t="s">
        <v>1</v>
      </c>
      <c r="G6" s="37" t="s">
        <v>0</v>
      </c>
      <c r="H6" s="37" t="s">
        <v>4</v>
      </c>
      <c r="I6" s="37" t="s">
        <v>3</v>
      </c>
      <c r="J6" s="38" t="s">
        <v>20</v>
      </c>
      <c r="K6" s="35" t="s">
        <v>39</v>
      </c>
      <c r="L6" s="42" t="s">
        <v>1</v>
      </c>
      <c r="M6" s="37" t="s">
        <v>0</v>
      </c>
      <c r="N6" s="37" t="s">
        <v>4</v>
      </c>
      <c r="O6" s="37" t="s">
        <v>3</v>
      </c>
      <c r="P6" s="38" t="s">
        <v>20</v>
      </c>
      <c r="Q6" s="35" t="s">
        <v>39</v>
      </c>
      <c r="R6" s="37" t="s">
        <v>1</v>
      </c>
      <c r="S6" s="37" t="s">
        <v>0</v>
      </c>
      <c r="T6" s="37" t="s">
        <v>4</v>
      </c>
      <c r="U6" s="37" t="s">
        <v>3</v>
      </c>
      <c r="V6" s="38" t="s">
        <v>20</v>
      </c>
    </row>
    <row r="7" spans="5:22" ht="15.75" x14ac:dyDescent="0.25">
      <c r="E7" s="36" t="s">
        <v>70</v>
      </c>
      <c r="F7" s="39">
        <v>46295</v>
      </c>
      <c r="G7" s="36" t="s">
        <v>55</v>
      </c>
      <c r="H7" s="36" t="s">
        <v>153</v>
      </c>
      <c r="I7" s="36" t="s">
        <v>152</v>
      </c>
      <c r="J7" s="40">
        <v>30</v>
      </c>
      <c r="K7" s="36" t="s">
        <v>70</v>
      </c>
      <c r="L7" s="39">
        <v>46295</v>
      </c>
      <c r="M7" s="36" t="s">
        <v>210</v>
      </c>
      <c r="N7" s="36" t="s">
        <v>212</v>
      </c>
      <c r="O7" s="36" t="s">
        <v>211</v>
      </c>
      <c r="P7" s="40">
        <v>1</v>
      </c>
      <c r="Q7" s="36" t="s">
        <v>70</v>
      </c>
      <c r="R7" s="39">
        <v>46295</v>
      </c>
      <c r="S7" s="36" t="s">
        <v>209</v>
      </c>
      <c r="T7" s="36" t="s">
        <v>25</v>
      </c>
      <c r="U7" s="36" t="s">
        <v>24</v>
      </c>
      <c r="V7" s="40">
        <v>4</v>
      </c>
    </row>
    <row r="8" spans="5:22" ht="15.75" x14ac:dyDescent="0.25">
      <c r="E8" s="36"/>
      <c r="F8" s="36"/>
      <c r="G8" s="36" t="s">
        <v>132</v>
      </c>
      <c r="H8" s="36" t="s">
        <v>134</v>
      </c>
      <c r="I8" s="36" t="s">
        <v>133</v>
      </c>
      <c r="J8" s="40">
        <v>1</v>
      </c>
      <c r="K8" s="36"/>
      <c r="L8" s="36"/>
      <c r="M8" s="36"/>
      <c r="N8" s="36" t="s">
        <v>101</v>
      </c>
      <c r="O8" s="36" t="s">
        <v>100</v>
      </c>
      <c r="P8" s="40">
        <v>1</v>
      </c>
      <c r="Q8" s="36"/>
      <c r="R8" s="36"/>
      <c r="S8" s="36" t="s">
        <v>73</v>
      </c>
      <c r="T8" s="36" t="s">
        <v>75</v>
      </c>
      <c r="U8" s="36" t="s">
        <v>74</v>
      </c>
      <c r="V8" s="40">
        <v>13</v>
      </c>
    </row>
    <row r="9" spans="5:22" ht="15.75" x14ac:dyDescent="0.25">
      <c r="E9" s="36"/>
      <c r="F9" s="36"/>
      <c r="G9" s="36" t="s">
        <v>209</v>
      </c>
      <c r="H9" s="36" t="s">
        <v>136</v>
      </c>
      <c r="I9" s="36" t="s">
        <v>135</v>
      </c>
      <c r="J9" s="40">
        <v>3</v>
      </c>
      <c r="K9" s="36"/>
      <c r="L9" s="36"/>
      <c r="M9" s="36"/>
      <c r="N9" s="36" t="s">
        <v>214</v>
      </c>
      <c r="O9" s="36" t="s">
        <v>213</v>
      </c>
      <c r="P9" s="40">
        <v>1</v>
      </c>
      <c r="Q9" s="36"/>
      <c r="R9" s="36"/>
      <c r="S9" s="36" t="s">
        <v>95</v>
      </c>
      <c r="T9" s="36" t="s">
        <v>97</v>
      </c>
      <c r="U9" s="36" t="s">
        <v>96</v>
      </c>
      <c r="V9" s="40">
        <v>2</v>
      </c>
    </row>
    <row r="10" spans="5:22" ht="15.75" x14ac:dyDescent="0.25">
      <c r="E10" s="36"/>
      <c r="F10" s="36"/>
      <c r="G10" s="36"/>
      <c r="H10" s="36" t="s">
        <v>234</v>
      </c>
      <c r="I10" s="36" t="s">
        <v>233</v>
      </c>
      <c r="J10" s="40">
        <v>3</v>
      </c>
      <c r="K10" s="36"/>
      <c r="L10" s="36"/>
      <c r="M10" s="36" t="s">
        <v>209</v>
      </c>
      <c r="N10" s="36" t="s">
        <v>129</v>
      </c>
      <c r="O10" s="36" t="s">
        <v>128</v>
      </c>
      <c r="P10" s="40">
        <v>1</v>
      </c>
      <c r="Q10" s="36"/>
      <c r="R10" s="36"/>
      <c r="S10" s="36" t="s">
        <v>114</v>
      </c>
      <c r="T10" s="36" t="s">
        <v>25</v>
      </c>
      <c r="U10" s="36" t="s">
        <v>24</v>
      </c>
      <c r="V10" s="40">
        <v>1</v>
      </c>
    </row>
    <row r="11" spans="5:22" ht="15.75" x14ac:dyDescent="0.25">
      <c r="E11" s="36"/>
      <c r="F11" s="36"/>
      <c r="G11" s="36"/>
      <c r="H11" s="36" t="s">
        <v>236</v>
      </c>
      <c r="I11" s="36" t="s">
        <v>235</v>
      </c>
      <c r="J11" s="40">
        <v>2</v>
      </c>
      <c r="K11" s="36"/>
      <c r="L11" s="36"/>
      <c r="M11" s="36" t="s">
        <v>73</v>
      </c>
      <c r="N11" s="36" t="s">
        <v>81</v>
      </c>
      <c r="O11" s="36" t="s">
        <v>80</v>
      </c>
      <c r="P11" s="40">
        <v>4</v>
      </c>
      <c r="Q11" s="36"/>
      <c r="R11" s="39">
        <v>46310</v>
      </c>
      <c r="S11" s="36" t="s">
        <v>182</v>
      </c>
      <c r="T11" s="36" t="s">
        <v>75</v>
      </c>
      <c r="U11" s="36" t="s">
        <v>74</v>
      </c>
      <c r="V11" s="40">
        <v>3</v>
      </c>
    </row>
    <row r="12" spans="5:22" ht="15.75" x14ac:dyDescent="0.25">
      <c r="E12" s="36"/>
      <c r="F12" s="36"/>
      <c r="G12" s="36" t="s">
        <v>73</v>
      </c>
      <c r="H12" s="36" t="s">
        <v>72</v>
      </c>
      <c r="I12" s="36" t="s">
        <v>71</v>
      </c>
      <c r="J12" s="40">
        <v>2</v>
      </c>
      <c r="K12" s="36"/>
      <c r="L12" s="36"/>
      <c r="M12" s="36"/>
      <c r="N12" s="36" t="s">
        <v>54</v>
      </c>
      <c r="O12" s="36" t="s">
        <v>53</v>
      </c>
      <c r="P12" s="40">
        <v>4</v>
      </c>
      <c r="Q12" s="36"/>
      <c r="R12" s="36"/>
      <c r="S12" s="36" t="s">
        <v>220</v>
      </c>
      <c r="T12" s="36" t="s">
        <v>25</v>
      </c>
      <c r="U12" s="36" t="s">
        <v>24</v>
      </c>
      <c r="V12" s="40">
        <v>1</v>
      </c>
    </row>
    <row r="13" spans="5:22" ht="15.75" x14ac:dyDescent="0.25">
      <c r="E13" s="36"/>
      <c r="F13" s="36"/>
      <c r="G13" s="36"/>
      <c r="H13" s="36" t="s">
        <v>57</v>
      </c>
      <c r="I13" s="36" t="s">
        <v>56</v>
      </c>
      <c r="J13" s="40">
        <v>3</v>
      </c>
      <c r="K13" s="36"/>
      <c r="L13" s="36"/>
      <c r="M13" s="36" t="s">
        <v>114</v>
      </c>
      <c r="N13" s="36" t="s">
        <v>216</v>
      </c>
      <c r="O13" s="36" t="s">
        <v>215</v>
      </c>
      <c r="P13" s="40">
        <v>1</v>
      </c>
      <c r="Q13" s="36"/>
      <c r="R13" s="36"/>
      <c r="S13" s="36"/>
      <c r="T13" s="36" t="s">
        <v>97</v>
      </c>
      <c r="U13" s="36" t="s">
        <v>96</v>
      </c>
      <c r="V13" s="40">
        <v>2</v>
      </c>
    </row>
    <row r="14" spans="5:22" ht="15.75" x14ac:dyDescent="0.25">
      <c r="E14" s="36"/>
      <c r="F14" s="36"/>
      <c r="G14" s="36"/>
      <c r="H14" s="36" t="s">
        <v>77</v>
      </c>
      <c r="I14" s="36" t="s">
        <v>76</v>
      </c>
      <c r="J14" s="40">
        <v>2</v>
      </c>
      <c r="K14" s="36"/>
      <c r="L14" s="36"/>
      <c r="M14" s="36" t="s">
        <v>165</v>
      </c>
      <c r="N14" s="36" t="s">
        <v>171</v>
      </c>
      <c r="O14" s="36" t="s">
        <v>170</v>
      </c>
      <c r="P14" s="40">
        <v>1</v>
      </c>
      <c r="Q14" s="36"/>
      <c r="R14" s="36"/>
      <c r="S14" s="36"/>
      <c r="T14" s="36" t="s">
        <v>222</v>
      </c>
      <c r="U14" s="36" t="s">
        <v>221</v>
      </c>
      <c r="V14" s="40">
        <v>1</v>
      </c>
    </row>
    <row r="15" spans="5:22" ht="15.75" x14ac:dyDescent="0.25">
      <c r="E15" s="36"/>
      <c r="F15" s="36"/>
      <c r="G15" s="36"/>
      <c r="H15" s="36" t="s">
        <v>79</v>
      </c>
      <c r="I15" s="36" t="s">
        <v>78</v>
      </c>
      <c r="J15" s="40">
        <v>5</v>
      </c>
      <c r="K15" s="36"/>
      <c r="L15" s="36"/>
      <c r="M15" s="36"/>
      <c r="N15" s="36" t="s">
        <v>120</v>
      </c>
      <c r="O15" s="36" t="s">
        <v>119</v>
      </c>
      <c r="P15" s="40">
        <v>1</v>
      </c>
      <c r="Q15" s="36"/>
      <c r="R15" s="36"/>
      <c r="S15" s="36"/>
      <c r="T15" s="36" t="s">
        <v>226</v>
      </c>
      <c r="U15" s="36" t="s">
        <v>225</v>
      </c>
      <c r="V15" s="40">
        <v>1</v>
      </c>
    </row>
    <row r="16" spans="5:22" ht="15.75" x14ac:dyDescent="0.25">
      <c r="E16" s="36"/>
      <c r="F16" s="36"/>
      <c r="G16" s="36"/>
      <c r="H16" s="36" t="s">
        <v>84</v>
      </c>
      <c r="I16" s="36" t="s">
        <v>83</v>
      </c>
      <c r="J16" s="40">
        <v>1</v>
      </c>
      <c r="K16" s="36"/>
      <c r="L16" s="36"/>
      <c r="M16" s="36"/>
      <c r="N16" s="36" t="s">
        <v>167</v>
      </c>
      <c r="O16" s="36" t="s">
        <v>166</v>
      </c>
      <c r="P16" s="40">
        <v>1</v>
      </c>
      <c r="Q16" s="36"/>
      <c r="R16" s="36"/>
      <c r="S16" s="36"/>
      <c r="T16" s="36" t="s">
        <v>232</v>
      </c>
      <c r="U16" s="36" t="s">
        <v>231</v>
      </c>
      <c r="V16" s="40">
        <v>1</v>
      </c>
    </row>
    <row r="17" spans="5:22" ht="15.75" x14ac:dyDescent="0.25">
      <c r="E17" s="36"/>
      <c r="F17" s="36"/>
      <c r="G17" s="36" t="s">
        <v>95</v>
      </c>
      <c r="H17" s="36" t="s">
        <v>65</v>
      </c>
      <c r="I17" s="36" t="s">
        <v>64</v>
      </c>
      <c r="J17" s="40">
        <v>2</v>
      </c>
      <c r="K17" s="36"/>
      <c r="L17" s="39">
        <v>46310</v>
      </c>
      <c r="M17" s="36" t="s">
        <v>182</v>
      </c>
      <c r="N17" s="36" t="s">
        <v>162</v>
      </c>
      <c r="O17" s="36" t="s">
        <v>161</v>
      </c>
      <c r="P17" s="40">
        <v>1</v>
      </c>
      <c r="Q17" s="36"/>
      <c r="R17" s="39">
        <v>46297</v>
      </c>
      <c r="S17" s="36" t="s">
        <v>23</v>
      </c>
      <c r="T17" s="36" t="s">
        <v>75</v>
      </c>
      <c r="U17" s="36" t="s">
        <v>74</v>
      </c>
      <c r="V17" s="40">
        <v>1</v>
      </c>
    </row>
    <row r="18" spans="5:22" ht="15.75" x14ac:dyDescent="0.25">
      <c r="E18" s="36"/>
      <c r="F18" s="36"/>
      <c r="G18" s="36"/>
      <c r="H18" s="36" t="s">
        <v>99</v>
      </c>
      <c r="I18" s="36" t="s">
        <v>98</v>
      </c>
      <c r="J18" s="40">
        <v>2</v>
      </c>
      <c r="K18" s="36"/>
      <c r="L18" s="36"/>
      <c r="M18" s="36" t="s">
        <v>220</v>
      </c>
      <c r="N18" s="36" t="s">
        <v>103</v>
      </c>
      <c r="O18" s="36" t="s">
        <v>102</v>
      </c>
      <c r="P18" s="40">
        <v>1</v>
      </c>
      <c r="Q18" s="36"/>
      <c r="R18" s="36"/>
      <c r="S18" s="36" t="s">
        <v>121</v>
      </c>
      <c r="T18" s="36" t="s">
        <v>75</v>
      </c>
      <c r="U18" s="36" t="s">
        <v>74</v>
      </c>
      <c r="V18" s="40">
        <v>3</v>
      </c>
    </row>
    <row r="19" spans="5:22" ht="15.75" x14ac:dyDescent="0.25">
      <c r="E19" s="36"/>
      <c r="F19" s="36"/>
      <c r="G19" s="36" t="s">
        <v>114</v>
      </c>
      <c r="H19" s="36" t="s">
        <v>138</v>
      </c>
      <c r="I19" s="36" t="s">
        <v>137</v>
      </c>
      <c r="J19" s="40">
        <v>1</v>
      </c>
      <c r="K19" s="36"/>
      <c r="L19" s="36"/>
      <c r="M19" s="36"/>
      <c r="N19" s="36" t="s">
        <v>228</v>
      </c>
      <c r="O19" s="36" t="s">
        <v>227</v>
      </c>
      <c r="P19" s="40">
        <v>1</v>
      </c>
      <c r="Q19" s="36"/>
      <c r="R19" s="39">
        <v>46305</v>
      </c>
      <c r="S19" s="36" t="s">
        <v>147</v>
      </c>
      <c r="T19" s="36" t="s">
        <v>157</v>
      </c>
      <c r="U19" s="36" t="s">
        <v>156</v>
      </c>
      <c r="V19" s="40">
        <v>1</v>
      </c>
    </row>
    <row r="20" spans="5:22" ht="15.75" x14ac:dyDescent="0.25">
      <c r="E20" s="36"/>
      <c r="F20" s="36"/>
      <c r="G20" s="36" t="s">
        <v>165</v>
      </c>
      <c r="H20" s="36" t="s">
        <v>169</v>
      </c>
      <c r="I20" s="36" t="s">
        <v>168</v>
      </c>
      <c r="J20" s="40">
        <v>1</v>
      </c>
      <c r="K20" s="36"/>
      <c r="L20" s="36"/>
      <c r="M20" s="36"/>
      <c r="N20" s="36" t="s">
        <v>230</v>
      </c>
      <c r="O20" s="36" t="s">
        <v>229</v>
      </c>
      <c r="P20" s="40">
        <v>1</v>
      </c>
      <c r="Q20" s="36"/>
      <c r="R20" s="39">
        <v>46311</v>
      </c>
      <c r="S20" s="36" t="s">
        <v>55</v>
      </c>
      <c r="T20" s="36" t="s">
        <v>190</v>
      </c>
      <c r="U20" s="36" t="s">
        <v>189</v>
      </c>
      <c r="V20" s="40">
        <v>1</v>
      </c>
    </row>
    <row r="21" spans="5:22" ht="15.75" x14ac:dyDescent="0.25">
      <c r="E21" s="36"/>
      <c r="F21" s="36"/>
      <c r="G21" s="36" t="s">
        <v>172</v>
      </c>
      <c r="H21" s="36" t="s">
        <v>150</v>
      </c>
      <c r="I21" s="36" t="s">
        <v>149</v>
      </c>
      <c r="J21" s="40">
        <v>1</v>
      </c>
      <c r="K21" s="36"/>
      <c r="L21" s="39">
        <v>46297</v>
      </c>
      <c r="M21" s="36" t="s">
        <v>55</v>
      </c>
      <c r="N21" s="36" t="s">
        <v>146</v>
      </c>
      <c r="O21" s="36" t="s">
        <v>145</v>
      </c>
      <c r="P21" s="40">
        <v>1</v>
      </c>
      <c r="Q21" s="36"/>
      <c r="R21" s="39">
        <v>46293</v>
      </c>
      <c r="S21" s="36" t="s">
        <v>23</v>
      </c>
      <c r="T21" s="36" t="s">
        <v>25</v>
      </c>
      <c r="U21" s="36" t="s">
        <v>24</v>
      </c>
      <c r="V21" s="40">
        <v>1</v>
      </c>
    </row>
    <row r="22" spans="5:22" ht="15.75" x14ac:dyDescent="0.25">
      <c r="E22" s="36"/>
      <c r="F22" s="39">
        <v>46310</v>
      </c>
      <c r="G22" s="36" t="s">
        <v>182</v>
      </c>
      <c r="H22" s="36" t="s">
        <v>72</v>
      </c>
      <c r="I22" s="36" t="s">
        <v>71</v>
      </c>
      <c r="J22" s="40">
        <v>1</v>
      </c>
      <c r="K22" s="36"/>
      <c r="L22" s="36"/>
      <c r="M22" s="36"/>
      <c r="N22" s="36" t="s">
        <v>175</v>
      </c>
      <c r="O22" s="36" t="s">
        <v>174</v>
      </c>
      <c r="P22" s="40">
        <v>1</v>
      </c>
      <c r="Q22" s="36"/>
      <c r="R22" s="39">
        <v>46304</v>
      </c>
      <c r="S22" s="36" t="s">
        <v>217</v>
      </c>
      <c r="T22" s="36" t="s">
        <v>75</v>
      </c>
      <c r="U22" s="36" t="s">
        <v>74</v>
      </c>
      <c r="V22" s="40">
        <v>1</v>
      </c>
    </row>
    <row r="23" spans="5:22" ht="15.75" x14ac:dyDescent="0.25">
      <c r="E23" s="36"/>
      <c r="F23" s="36"/>
      <c r="G23" s="36"/>
      <c r="H23" s="36" t="s">
        <v>134</v>
      </c>
      <c r="I23" s="36" t="s">
        <v>133</v>
      </c>
      <c r="J23" s="40">
        <v>1</v>
      </c>
      <c r="K23" s="36"/>
      <c r="L23" s="36"/>
      <c r="M23" s="36"/>
      <c r="N23" s="36" t="s">
        <v>111</v>
      </c>
      <c r="O23" s="36" t="s">
        <v>110</v>
      </c>
      <c r="P23" s="40">
        <v>1</v>
      </c>
      <c r="Q23" s="36"/>
      <c r="R23" s="39">
        <v>46307</v>
      </c>
      <c r="S23" s="36" t="s">
        <v>159</v>
      </c>
      <c r="T23" s="36" t="s">
        <v>75</v>
      </c>
      <c r="U23" s="36" t="s">
        <v>74</v>
      </c>
      <c r="V23" s="40">
        <v>1</v>
      </c>
    </row>
    <row r="24" spans="5:22" ht="15.75" x14ac:dyDescent="0.25">
      <c r="E24" s="36"/>
      <c r="F24" s="36"/>
      <c r="G24" s="36"/>
      <c r="H24" s="36" t="s">
        <v>155</v>
      </c>
      <c r="I24" s="36" t="s">
        <v>154</v>
      </c>
      <c r="J24" s="40">
        <v>1</v>
      </c>
      <c r="K24" s="36"/>
      <c r="L24" s="36"/>
      <c r="M24" s="36"/>
      <c r="N24" s="36" t="s">
        <v>144</v>
      </c>
      <c r="O24" s="36" t="s">
        <v>143</v>
      </c>
      <c r="P24" s="40">
        <v>1</v>
      </c>
      <c r="Q24" s="36"/>
      <c r="R24" s="39">
        <v>46315</v>
      </c>
      <c r="S24" s="36" t="s">
        <v>36</v>
      </c>
      <c r="T24" s="36" t="s">
        <v>25</v>
      </c>
      <c r="U24" s="36" t="s">
        <v>24</v>
      </c>
      <c r="V24" s="40">
        <v>1</v>
      </c>
    </row>
    <row r="25" spans="5:22" ht="15.75" x14ac:dyDescent="0.25">
      <c r="E25" s="36"/>
      <c r="F25" s="36"/>
      <c r="G25" s="36" t="s">
        <v>220</v>
      </c>
      <c r="H25" s="36" t="s">
        <v>116</v>
      </c>
      <c r="I25" s="36" t="s">
        <v>115</v>
      </c>
      <c r="J25" s="40">
        <v>1</v>
      </c>
      <c r="K25" s="36"/>
      <c r="L25" s="36"/>
      <c r="M25" s="36" t="s">
        <v>121</v>
      </c>
      <c r="N25" s="36" t="s">
        <v>125</v>
      </c>
      <c r="O25" s="36" t="s">
        <v>124</v>
      </c>
      <c r="P25" s="40">
        <v>2</v>
      </c>
      <c r="Q25" s="36"/>
      <c r="R25" s="39">
        <v>46303</v>
      </c>
      <c r="S25" s="36" t="s">
        <v>36</v>
      </c>
      <c r="T25" s="36" t="s">
        <v>240</v>
      </c>
      <c r="U25" s="36" t="s">
        <v>239</v>
      </c>
      <c r="V25" s="40">
        <v>8</v>
      </c>
    </row>
    <row r="26" spans="5:22" ht="15.75" x14ac:dyDescent="0.25">
      <c r="E26" s="36"/>
      <c r="F26" s="36"/>
      <c r="G26" s="36"/>
      <c r="H26" s="36" t="s">
        <v>65</v>
      </c>
      <c r="I26" s="36" t="s">
        <v>64</v>
      </c>
      <c r="J26" s="40">
        <v>1</v>
      </c>
      <c r="K26" s="36"/>
      <c r="L26" s="39">
        <v>46293</v>
      </c>
      <c r="M26" s="36" t="s">
        <v>23</v>
      </c>
      <c r="N26" s="36" t="s">
        <v>113</v>
      </c>
      <c r="O26" s="36" t="s">
        <v>112</v>
      </c>
      <c r="P26" s="40">
        <v>1</v>
      </c>
      <c r="Q26" s="36"/>
      <c r="R26" s="36"/>
      <c r="S26" s="36"/>
      <c r="T26" s="36" t="s">
        <v>242</v>
      </c>
      <c r="U26" s="36" t="s">
        <v>241</v>
      </c>
      <c r="V26" s="40">
        <v>8</v>
      </c>
    </row>
    <row r="27" spans="5:22" ht="15.75" x14ac:dyDescent="0.25">
      <c r="E27" s="36"/>
      <c r="F27" s="36"/>
      <c r="G27" s="36"/>
      <c r="H27" s="36" t="s">
        <v>140</v>
      </c>
      <c r="I27" s="36" t="s">
        <v>139</v>
      </c>
      <c r="J27" s="40">
        <v>1</v>
      </c>
      <c r="K27" s="36"/>
      <c r="L27" s="39">
        <v>46304</v>
      </c>
      <c r="M27" s="36" t="s">
        <v>217</v>
      </c>
      <c r="N27" s="36" t="s">
        <v>216</v>
      </c>
      <c r="O27" s="36" t="s">
        <v>215</v>
      </c>
      <c r="P27" s="40">
        <v>1</v>
      </c>
      <c r="Q27" s="36"/>
      <c r="R27" s="39">
        <v>46308</v>
      </c>
      <c r="S27" s="36" t="s">
        <v>219</v>
      </c>
      <c r="T27" s="36" t="s">
        <v>25</v>
      </c>
      <c r="U27" s="36" t="s">
        <v>24</v>
      </c>
      <c r="V27" s="40">
        <v>7</v>
      </c>
    </row>
    <row r="28" spans="5:22" ht="15.75" x14ac:dyDescent="0.25">
      <c r="E28" s="36"/>
      <c r="F28" s="36"/>
      <c r="G28" s="36"/>
      <c r="H28" s="36" t="s">
        <v>224</v>
      </c>
      <c r="I28" s="36" t="s">
        <v>223</v>
      </c>
      <c r="J28" s="40">
        <v>1</v>
      </c>
      <c r="K28" s="36"/>
      <c r="L28" s="36"/>
      <c r="M28" s="36"/>
      <c r="N28" s="36" t="s">
        <v>125</v>
      </c>
      <c r="O28" s="36" t="s">
        <v>124</v>
      </c>
      <c r="P28" s="40">
        <v>1</v>
      </c>
      <c r="Q28" s="36"/>
      <c r="R28" s="39">
        <v>46318</v>
      </c>
      <c r="S28" s="36" t="s">
        <v>55</v>
      </c>
      <c r="T28" s="36" t="s">
        <v>190</v>
      </c>
      <c r="U28" s="36" t="s">
        <v>189</v>
      </c>
      <c r="V28" s="40">
        <v>1</v>
      </c>
    </row>
    <row r="29" spans="5:22" ht="15.75" x14ac:dyDescent="0.25">
      <c r="E29" s="36"/>
      <c r="F29" s="36"/>
      <c r="G29" s="36"/>
      <c r="H29" s="36" t="s">
        <v>134</v>
      </c>
      <c r="I29" s="36" t="s">
        <v>133</v>
      </c>
      <c r="J29" s="40">
        <v>1</v>
      </c>
      <c r="K29" s="36"/>
      <c r="L29" s="39">
        <v>46307</v>
      </c>
      <c r="M29" s="36" t="s">
        <v>159</v>
      </c>
      <c r="N29" s="36" t="s">
        <v>81</v>
      </c>
      <c r="O29" s="36" t="s">
        <v>80</v>
      </c>
      <c r="P29" s="40">
        <v>1</v>
      </c>
      <c r="Q29" s="36"/>
      <c r="R29" s="36"/>
      <c r="S29" s="36"/>
      <c r="T29" s="36" t="s">
        <v>75</v>
      </c>
      <c r="U29" s="36" t="s">
        <v>74</v>
      </c>
      <c r="V29" s="40">
        <v>1</v>
      </c>
    </row>
    <row r="30" spans="5:22" ht="15.75" x14ac:dyDescent="0.25">
      <c r="E30" s="36"/>
      <c r="F30" s="36"/>
      <c r="G30" s="36"/>
      <c r="H30" s="36" t="s">
        <v>142</v>
      </c>
      <c r="I30" s="36" t="s">
        <v>141</v>
      </c>
      <c r="J30" s="40">
        <v>1</v>
      </c>
      <c r="K30" s="36"/>
      <c r="L30" s="36"/>
      <c r="M30" s="36"/>
      <c r="N30" s="36" t="s">
        <v>54</v>
      </c>
      <c r="O30" s="36" t="s">
        <v>53</v>
      </c>
      <c r="P30" s="40">
        <v>1</v>
      </c>
      <c r="Q30" s="36"/>
      <c r="R30" s="39">
        <v>46323</v>
      </c>
      <c r="S30" s="36" t="s">
        <v>23</v>
      </c>
      <c r="T30" s="36" t="s">
        <v>75</v>
      </c>
      <c r="U30" s="36" t="s">
        <v>74</v>
      </c>
      <c r="V30" s="40">
        <v>1</v>
      </c>
    </row>
    <row r="31" spans="5:22" ht="15.75" x14ac:dyDescent="0.25">
      <c r="E31" s="36"/>
      <c r="F31" s="36"/>
      <c r="G31" s="36"/>
      <c r="H31" s="36" t="s">
        <v>164</v>
      </c>
      <c r="I31" s="36" t="s">
        <v>163</v>
      </c>
      <c r="J31" s="40">
        <v>1</v>
      </c>
      <c r="K31" s="36"/>
      <c r="L31" s="36"/>
      <c r="M31" s="36"/>
      <c r="N31" s="36" t="s">
        <v>86</v>
      </c>
      <c r="O31" s="36" t="s">
        <v>85</v>
      </c>
      <c r="P31" s="40">
        <v>1</v>
      </c>
      <c r="Q31" s="36"/>
      <c r="R31" s="39">
        <v>46325</v>
      </c>
      <c r="S31" s="36" t="s">
        <v>23</v>
      </c>
      <c r="T31" s="36" t="s">
        <v>25</v>
      </c>
      <c r="U31" s="36" t="s">
        <v>24</v>
      </c>
      <c r="V31" s="40">
        <v>1</v>
      </c>
    </row>
    <row r="32" spans="5:22" ht="15.75" x14ac:dyDescent="0.25">
      <c r="E32" s="36"/>
      <c r="F32" s="39">
        <v>46297</v>
      </c>
      <c r="G32" s="36" t="s">
        <v>55</v>
      </c>
      <c r="H32" s="36" t="s">
        <v>65</v>
      </c>
      <c r="I32" s="36" t="s">
        <v>64</v>
      </c>
      <c r="J32" s="40">
        <v>1</v>
      </c>
      <c r="K32" s="36"/>
      <c r="L32" s="39">
        <v>46296</v>
      </c>
      <c r="M32" s="36" t="s">
        <v>55</v>
      </c>
      <c r="N32" s="36" t="s">
        <v>238</v>
      </c>
      <c r="O32" s="36" t="s">
        <v>237</v>
      </c>
      <c r="P32" s="40">
        <v>1</v>
      </c>
      <c r="Q32" s="36"/>
      <c r="R32" s="36"/>
      <c r="S32" s="36" t="s">
        <v>209</v>
      </c>
      <c r="T32" s="36" t="s">
        <v>25</v>
      </c>
      <c r="U32" s="36" t="s">
        <v>24</v>
      </c>
      <c r="V32" s="40">
        <v>7</v>
      </c>
    </row>
    <row r="33" spans="5:22" ht="15.75" x14ac:dyDescent="0.25">
      <c r="E33" s="36"/>
      <c r="F33" s="36"/>
      <c r="G33" s="36"/>
      <c r="H33" s="36" t="s">
        <v>91</v>
      </c>
      <c r="I33" s="36" t="s">
        <v>90</v>
      </c>
      <c r="J33" s="40">
        <v>2</v>
      </c>
      <c r="K33" s="36"/>
      <c r="L33" s="39">
        <v>46318</v>
      </c>
      <c r="M33" s="36" t="s">
        <v>55</v>
      </c>
      <c r="N33" s="36" t="s">
        <v>131</v>
      </c>
      <c r="O33" s="36" t="s">
        <v>130</v>
      </c>
      <c r="P33" s="40">
        <v>1</v>
      </c>
      <c r="Q33" s="36" t="s">
        <v>19</v>
      </c>
      <c r="R33" s="36"/>
      <c r="S33" s="36"/>
      <c r="T33" s="36"/>
      <c r="U33" s="36"/>
      <c r="V33" s="40">
        <v>73</v>
      </c>
    </row>
    <row r="34" spans="5:22" ht="15.75" x14ac:dyDescent="0.25">
      <c r="E34" s="36"/>
      <c r="F34" s="36"/>
      <c r="G34" s="36"/>
      <c r="H34" s="36" t="s">
        <v>61</v>
      </c>
      <c r="I34" s="36" t="s">
        <v>60</v>
      </c>
      <c r="J34" s="40">
        <v>1</v>
      </c>
      <c r="K34" s="36"/>
      <c r="L34" s="39">
        <v>46323</v>
      </c>
      <c r="M34" s="36" t="s">
        <v>23</v>
      </c>
      <c r="N34" s="36" t="s">
        <v>257</v>
      </c>
      <c r="O34" s="36" t="s">
        <v>256</v>
      </c>
      <c r="P34" s="40">
        <v>5</v>
      </c>
      <c r="Q34"/>
      <c r="R34"/>
      <c r="S34"/>
      <c r="T34"/>
      <c r="U34"/>
    </row>
    <row r="35" spans="5:22" ht="15.75" x14ac:dyDescent="0.25">
      <c r="E35" s="36"/>
      <c r="F35" s="36"/>
      <c r="G35" s="36"/>
      <c r="H35" s="36" t="s">
        <v>63</v>
      </c>
      <c r="I35" s="36" t="s">
        <v>62</v>
      </c>
      <c r="J35" s="40">
        <v>2</v>
      </c>
      <c r="K35" s="36"/>
      <c r="L35" s="36"/>
      <c r="M35" s="36"/>
      <c r="N35" s="36" t="s">
        <v>101</v>
      </c>
      <c r="O35" s="36" t="s">
        <v>100</v>
      </c>
      <c r="P35" s="40">
        <v>2</v>
      </c>
      <c r="Q35"/>
      <c r="R35"/>
      <c r="S35"/>
      <c r="T35"/>
      <c r="U35"/>
    </row>
    <row r="36" spans="5:22" ht="15.75" x14ac:dyDescent="0.25">
      <c r="E36" s="36"/>
      <c r="F36" s="36"/>
      <c r="G36" s="36"/>
      <c r="H36" s="36" t="s">
        <v>177</v>
      </c>
      <c r="I36" s="36" t="s">
        <v>176</v>
      </c>
      <c r="J36" s="40">
        <v>1</v>
      </c>
      <c r="K36" s="36"/>
      <c r="L36" s="39">
        <v>46325</v>
      </c>
      <c r="M36" s="36" t="s">
        <v>23</v>
      </c>
      <c r="N36" s="36" t="s">
        <v>103</v>
      </c>
      <c r="O36" s="36" t="s">
        <v>102</v>
      </c>
      <c r="P36" s="40">
        <v>1</v>
      </c>
      <c r="Q36"/>
      <c r="R36"/>
      <c r="S36"/>
      <c r="T36"/>
      <c r="U36"/>
    </row>
    <row r="37" spans="5:22" ht="15.75" x14ac:dyDescent="0.25">
      <c r="E37" s="36"/>
      <c r="F37" s="36"/>
      <c r="G37" s="36" t="s">
        <v>23</v>
      </c>
      <c r="H37" s="36" t="s">
        <v>134</v>
      </c>
      <c r="I37" s="36" t="s">
        <v>133</v>
      </c>
      <c r="J37" s="40">
        <v>1</v>
      </c>
      <c r="K37" s="36"/>
      <c r="L37" s="36"/>
      <c r="M37" s="36"/>
      <c r="N37" s="36" t="s">
        <v>113</v>
      </c>
      <c r="O37" s="36" t="s">
        <v>112</v>
      </c>
      <c r="P37" s="40">
        <v>1</v>
      </c>
      <c r="Q37"/>
      <c r="R37"/>
      <c r="S37"/>
      <c r="T37"/>
      <c r="U37"/>
    </row>
    <row r="38" spans="5:22" ht="15.75" x14ac:dyDescent="0.25">
      <c r="E38" s="36"/>
      <c r="F38" s="36"/>
      <c r="G38" s="36"/>
      <c r="H38" s="36" t="s">
        <v>155</v>
      </c>
      <c r="I38" s="36" t="s">
        <v>154</v>
      </c>
      <c r="J38" s="40">
        <v>1</v>
      </c>
      <c r="K38" s="39" t="s">
        <v>19</v>
      </c>
      <c r="L38" s="39"/>
      <c r="M38" s="39"/>
      <c r="N38" s="39"/>
      <c r="O38" s="39"/>
      <c r="P38" s="40">
        <v>43</v>
      </c>
      <c r="Q38"/>
      <c r="R38"/>
      <c r="S38"/>
      <c r="T38"/>
      <c r="U38"/>
    </row>
    <row r="39" spans="5:22" ht="15.75" x14ac:dyDescent="0.25">
      <c r="E39" s="36"/>
      <c r="F39" s="36"/>
      <c r="G39" s="36" t="s">
        <v>121</v>
      </c>
      <c r="H39" s="36" t="s">
        <v>123</v>
      </c>
      <c r="I39" s="36" t="s">
        <v>122</v>
      </c>
      <c r="J39" s="40">
        <v>1</v>
      </c>
      <c r="K39"/>
      <c r="L39"/>
      <c r="M39"/>
      <c r="N39"/>
      <c r="O39"/>
      <c r="Q39"/>
      <c r="R39"/>
      <c r="S39"/>
      <c r="T39"/>
      <c r="U39"/>
    </row>
    <row r="40" spans="5:22" ht="15.75" x14ac:dyDescent="0.25">
      <c r="E40" s="36"/>
      <c r="F40" s="36"/>
      <c r="G40" s="36" t="s">
        <v>173</v>
      </c>
      <c r="H40" s="36" t="s">
        <v>65</v>
      </c>
      <c r="I40" s="36" t="s">
        <v>64</v>
      </c>
      <c r="J40" s="40">
        <v>1</v>
      </c>
      <c r="K40"/>
      <c r="L40"/>
      <c r="M40"/>
      <c r="N40"/>
      <c r="O40"/>
      <c r="Q40"/>
      <c r="R40"/>
      <c r="S40"/>
      <c r="T40"/>
      <c r="U40"/>
    </row>
    <row r="41" spans="5:22" ht="15.75" x14ac:dyDescent="0.25">
      <c r="E41" s="36"/>
      <c r="F41" s="36"/>
      <c r="G41" s="36"/>
      <c r="H41" s="36" t="s">
        <v>77</v>
      </c>
      <c r="I41" s="36" t="s">
        <v>76</v>
      </c>
      <c r="J41" s="40">
        <v>2</v>
      </c>
      <c r="K41"/>
      <c r="L41"/>
      <c r="M41"/>
      <c r="N41"/>
      <c r="O41"/>
      <c r="Q41"/>
      <c r="R41"/>
      <c r="S41"/>
      <c r="T41"/>
      <c r="U41"/>
    </row>
    <row r="42" spans="5:22" ht="15.75" x14ac:dyDescent="0.25">
      <c r="E42" s="36"/>
      <c r="F42" s="36"/>
      <c r="G42" s="36" t="s">
        <v>178</v>
      </c>
      <c r="H42" s="36" t="s">
        <v>180</v>
      </c>
      <c r="I42" s="36" t="s">
        <v>179</v>
      </c>
      <c r="J42" s="40">
        <v>5</v>
      </c>
      <c r="K42"/>
      <c r="L42"/>
      <c r="M42"/>
      <c r="N42"/>
      <c r="O42"/>
      <c r="Q42"/>
      <c r="R42"/>
      <c r="S42"/>
      <c r="T42"/>
      <c r="U42"/>
    </row>
    <row r="43" spans="5:22" ht="15.75" x14ac:dyDescent="0.25">
      <c r="E43" s="36"/>
      <c r="F43" s="39">
        <v>46311</v>
      </c>
      <c r="G43" s="36" t="s">
        <v>55</v>
      </c>
      <c r="H43" s="36" t="s">
        <v>186</v>
      </c>
      <c r="I43" s="36" t="s">
        <v>185</v>
      </c>
      <c r="J43" s="40">
        <v>2</v>
      </c>
      <c r="K43"/>
      <c r="L43"/>
      <c r="M43"/>
      <c r="N43"/>
      <c r="O43"/>
      <c r="Q43"/>
      <c r="R43"/>
      <c r="S43"/>
      <c r="T43"/>
      <c r="U43"/>
    </row>
    <row r="44" spans="5:22" ht="15.75" x14ac:dyDescent="0.25">
      <c r="E44" s="36"/>
      <c r="F44" s="36"/>
      <c r="G44" s="36"/>
      <c r="H44" s="36" t="s">
        <v>72</v>
      </c>
      <c r="I44" s="36" t="s">
        <v>71</v>
      </c>
      <c r="J44" s="40">
        <v>4</v>
      </c>
      <c r="K44"/>
      <c r="L44"/>
      <c r="M44"/>
      <c r="N44"/>
      <c r="O44"/>
      <c r="Q44"/>
      <c r="R44"/>
      <c r="S44"/>
      <c r="T44"/>
      <c r="U44"/>
    </row>
    <row r="45" spans="5:22" ht="15.75" x14ac:dyDescent="0.25">
      <c r="E45" s="36"/>
      <c r="F45" s="36"/>
      <c r="G45" s="36"/>
      <c r="H45" s="36" t="s">
        <v>188</v>
      </c>
      <c r="I45" s="36" t="s">
        <v>187</v>
      </c>
      <c r="J45" s="40">
        <v>1</v>
      </c>
      <c r="K45"/>
      <c r="L45"/>
      <c r="M45"/>
      <c r="N45"/>
      <c r="O45"/>
      <c r="Q45"/>
      <c r="R45"/>
      <c r="S45"/>
      <c r="T45"/>
      <c r="U45"/>
    </row>
    <row r="46" spans="5:22" ht="15.75" x14ac:dyDescent="0.25">
      <c r="E46" s="36"/>
      <c r="F46" s="36"/>
      <c r="G46" s="36"/>
      <c r="H46" s="36" t="s">
        <v>65</v>
      </c>
      <c r="I46" s="36" t="s">
        <v>64</v>
      </c>
      <c r="J46" s="40">
        <v>2</v>
      </c>
      <c r="K46"/>
      <c r="L46"/>
      <c r="M46"/>
      <c r="N46"/>
      <c r="O46"/>
      <c r="Q46"/>
      <c r="R46"/>
      <c r="S46"/>
      <c r="T46"/>
      <c r="U46"/>
    </row>
    <row r="47" spans="5:22" ht="15.75" x14ac:dyDescent="0.25">
      <c r="E47" s="36"/>
      <c r="F47" s="36"/>
      <c r="G47" s="36"/>
      <c r="H47" s="36" t="s">
        <v>61</v>
      </c>
      <c r="I47" s="36" t="s">
        <v>60</v>
      </c>
      <c r="J47" s="40">
        <v>2</v>
      </c>
      <c r="K47"/>
      <c r="L47"/>
      <c r="M47"/>
      <c r="N47"/>
      <c r="O47"/>
      <c r="Q47"/>
      <c r="R47"/>
      <c r="S47"/>
      <c r="T47"/>
      <c r="U47"/>
    </row>
    <row r="48" spans="5:22" ht="15.75" x14ac:dyDescent="0.25">
      <c r="E48" s="36"/>
      <c r="F48" s="36"/>
      <c r="G48" s="36"/>
      <c r="H48" s="36" t="s">
        <v>63</v>
      </c>
      <c r="I48" s="36" t="s">
        <v>62</v>
      </c>
      <c r="J48" s="40">
        <v>4</v>
      </c>
      <c r="K48"/>
      <c r="L48"/>
      <c r="M48"/>
      <c r="N48"/>
      <c r="O48"/>
      <c r="Q48"/>
      <c r="R48"/>
      <c r="S48"/>
      <c r="T48"/>
      <c r="U48"/>
    </row>
    <row r="49" spans="5:21" ht="15.75" x14ac:dyDescent="0.25">
      <c r="E49" s="36"/>
      <c r="F49" s="36"/>
      <c r="G49" s="36"/>
      <c r="H49" s="36" t="s">
        <v>107</v>
      </c>
      <c r="I49" s="36" t="s">
        <v>106</v>
      </c>
      <c r="J49" s="40">
        <v>4</v>
      </c>
      <c r="K49"/>
      <c r="L49"/>
      <c r="M49"/>
      <c r="N49"/>
      <c r="O49"/>
      <c r="Q49"/>
      <c r="R49"/>
      <c r="S49"/>
      <c r="T49"/>
      <c r="U49"/>
    </row>
    <row r="50" spans="5:21" ht="15.75" x14ac:dyDescent="0.25">
      <c r="E50" s="36"/>
      <c r="F50" s="36"/>
      <c r="G50" s="36"/>
      <c r="H50" s="36" t="s">
        <v>105</v>
      </c>
      <c r="I50" s="36" t="s">
        <v>104</v>
      </c>
      <c r="J50" s="40">
        <v>2</v>
      </c>
      <c r="K50"/>
      <c r="L50"/>
      <c r="M50"/>
      <c r="N50"/>
      <c r="O50"/>
      <c r="Q50"/>
      <c r="R50"/>
      <c r="S50"/>
      <c r="T50"/>
      <c r="U50"/>
    </row>
    <row r="51" spans="5:21" ht="15.75" x14ac:dyDescent="0.25">
      <c r="E51" s="36"/>
      <c r="F51" s="39">
        <v>46293</v>
      </c>
      <c r="G51" s="36" t="s">
        <v>23</v>
      </c>
      <c r="H51" s="36" t="s">
        <v>57</v>
      </c>
      <c r="I51" s="36" t="s">
        <v>56</v>
      </c>
      <c r="J51" s="40">
        <v>1</v>
      </c>
      <c r="K51"/>
      <c r="L51"/>
      <c r="M51"/>
      <c r="N51"/>
      <c r="O51"/>
      <c r="Q51"/>
      <c r="R51"/>
      <c r="S51"/>
      <c r="T51"/>
      <c r="U51"/>
    </row>
    <row r="52" spans="5:21" ht="15.75" x14ac:dyDescent="0.25">
      <c r="E52" s="36"/>
      <c r="F52" s="39">
        <v>46307</v>
      </c>
      <c r="G52" s="36" t="s">
        <v>159</v>
      </c>
      <c r="H52" s="36" t="s">
        <v>72</v>
      </c>
      <c r="I52" s="36" t="s">
        <v>71</v>
      </c>
      <c r="J52" s="40">
        <v>1</v>
      </c>
      <c r="K52"/>
      <c r="L52"/>
      <c r="M52"/>
      <c r="N52"/>
      <c r="O52"/>
      <c r="Q52"/>
      <c r="R52"/>
      <c r="S52"/>
      <c r="T52"/>
      <c r="U52"/>
    </row>
    <row r="53" spans="5:21" ht="15.75" x14ac:dyDescent="0.25">
      <c r="E53" s="36"/>
      <c r="F53" s="36"/>
      <c r="G53" s="36"/>
      <c r="H53" s="36" t="s">
        <v>88</v>
      </c>
      <c r="I53" s="36" t="s">
        <v>87</v>
      </c>
      <c r="J53" s="40">
        <v>1</v>
      </c>
      <c r="K53"/>
      <c r="L53"/>
      <c r="M53"/>
      <c r="N53"/>
      <c r="O53"/>
      <c r="Q53"/>
      <c r="R53"/>
      <c r="S53"/>
      <c r="T53"/>
      <c r="U53"/>
    </row>
    <row r="54" spans="5:21" ht="15.75" x14ac:dyDescent="0.25">
      <c r="E54" s="36"/>
      <c r="F54" s="39">
        <v>46315</v>
      </c>
      <c r="G54" s="36" t="s">
        <v>55</v>
      </c>
      <c r="H54" s="36" t="s">
        <v>94</v>
      </c>
      <c r="I54" s="36" t="s">
        <v>93</v>
      </c>
      <c r="J54" s="40">
        <v>1</v>
      </c>
      <c r="K54"/>
      <c r="L54"/>
      <c r="M54"/>
      <c r="N54"/>
      <c r="O54"/>
      <c r="Q54"/>
      <c r="R54"/>
      <c r="S54"/>
      <c r="T54"/>
      <c r="U54"/>
    </row>
    <row r="55" spans="5:21" ht="15.75" x14ac:dyDescent="0.25">
      <c r="E55" s="36"/>
      <c r="F55" s="36"/>
      <c r="G55" s="36"/>
      <c r="H55" s="36" t="s">
        <v>91</v>
      </c>
      <c r="I55" s="36" t="s">
        <v>90</v>
      </c>
      <c r="J55" s="40">
        <v>2</v>
      </c>
      <c r="K55"/>
      <c r="L55"/>
      <c r="M55"/>
      <c r="N55"/>
      <c r="O55"/>
      <c r="Q55"/>
      <c r="R55"/>
      <c r="S55"/>
      <c r="T55"/>
      <c r="U55"/>
    </row>
    <row r="56" spans="5:21" ht="15.75" x14ac:dyDescent="0.25">
      <c r="E56" s="36"/>
      <c r="F56" s="36"/>
      <c r="G56" s="36" t="s">
        <v>36</v>
      </c>
      <c r="H56" s="36" t="s">
        <v>118</v>
      </c>
      <c r="I56" s="36" t="s">
        <v>117</v>
      </c>
      <c r="J56" s="40">
        <v>1</v>
      </c>
      <c r="K56"/>
      <c r="L56"/>
      <c r="M56"/>
      <c r="N56"/>
      <c r="O56"/>
      <c r="Q56"/>
      <c r="R56"/>
      <c r="S56"/>
      <c r="T56"/>
      <c r="U56"/>
    </row>
    <row r="57" spans="5:21" ht="15.75" x14ac:dyDescent="0.25">
      <c r="E57" s="36"/>
      <c r="F57" s="36"/>
      <c r="G57" s="36"/>
      <c r="H57" s="36" t="s">
        <v>136</v>
      </c>
      <c r="I57" s="36" t="s">
        <v>135</v>
      </c>
      <c r="J57" s="40">
        <v>1</v>
      </c>
      <c r="K57"/>
      <c r="L57"/>
      <c r="M57"/>
      <c r="N57"/>
      <c r="O57"/>
      <c r="Q57"/>
      <c r="R57"/>
      <c r="S57"/>
      <c r="T57"/>
      <c r="U57"/>
    </row>
    <row r="58" spans="5:21" ht="15.75" x14ac:dyDescent="0.25">
      <c r="E58" s="36"/>
      <c r="F58" s="36"/>
      <c r="G58" s="36"/>
      <c r="H58" s="36" t="s">
        <v>164</v>
      </c>
      <c r="I58" s="36" t="s">
        <v>163</v>
      </c>
      <c r="J58" s="40">
        <v>1</v>
      </c>
      <c r="K58"/>
      <c r="L58"/>
      <c r="M58"/>
      <c r="N58"/>
      <c r="O58"/>
      <c r="Q58"/>
      <c r="R58"/>
      <c r="S58"/>
      <c r="T58"/>
      <c r="U58"/>
    </row>
    <row r="59" spans="5:21" ht="15.75" x14ac:dyDescent="0.25">
      <c r="E59" s="36"/>
      <c r="F59" s="39">
        <v>46308</v>
      </c>
      <c r="G59" s="36" t="s">
        <v>219</v>
      </c>
      <c r="H59" s="36" t="s">
        <v>38</v>
      </c>
      <c r="I59" s="36" t="s">
        <v>37</v>
      </c>
      <c r="J59" s="40">
        <v>7</v>
      </c>
      <c r="K59"/>
      <c r="L59"/>
      <c r="M59"/>
      <c r="N59"/>
      <c r="O59"/>
      <c r="Q59"/>
      <c r="R59"/>
      <c r="S59"/>
      <c r="T59"/>
      <c r="U59"/>
    </row>
    <row r="60" spans="5:21" ht="15.75" x14ac:dyDescent="0.25">
      <c r="E60" s="36"/>
      <c r="F60" s="36"/>
      <c r="G60" s="36"/>
      <c r="H60" s="36" t="s">
        <v>138</v>
      </c>
      <c r="I60" s="36" t="s">
        <v>137</v>
      </c>
      <c r="J60" s="40">
        <v>7</v>
      </c>
      <c r="K60"/>
      <c r="L60"/>
      <c r="M60"/>
      <c r="N60"/>
      <c r="O60"/>
      <c r="Q60"/>
      <c r="R60"/>
      <c r="S60"/>
      <c r="T60"/>
      <c r="U60"/>
    </row>
    <row r="61" spans="5:21" ht="15.75" x14ac:dyDescent="0.25">
      <c r="E61" s="36"/>
      <c r="F61" s="39">
        <v>46318</v>
      </c>
      <c r="G61" s="36" t="s">
        <v>55</v>
      </c>
      <c r="H61" s="36" t="s">
        <v>94</v>
      </c>
      <c r="I61" s="36" t="s">
        <v>93</v>
      </c>
      <c r="J61" s="40">
        <v>2</v>
      </c>
      <c r="K61"/>
      <c r="L61"/>
      <c r="M61"/>
      <c r="N61"/>
      <c r="O61"/>
      <c r="Q61"/>
      <c r="R61"/>
      <c r="S61"/>
      <c r="T61"/>
    </row>
    <row r="62" spans="5:21" ht="15.75" x14ac:dyDescent="0.25">
      <c r="E62" s="36"/>
      <c r="F62" s="36"/>
      <c r="G62" s="36"/>
      <c r="H62" s="36" t="s">
        <v>65</v>
      </c>
      <c r="I62" s="36" t="s">
        <v>64</v>
      </c>
      <c r="J62" s="40">
        <v>2</v>
      </c>
      <c r="K62"/>
      <c r="L62"/>
      <c r="M62"/>
      <c r="N62"/>
      <c r="O62"/>
      <c r="Q62"/>
      <c r="R62"/>
      <c r="S62"/>
      <c r="T62"/>
    </row>
    <row r="63" spans="5:21" ht="15.75" x14ac:dyDescent="0.25">
      <c r="E63" s="36"/>
      <c r="F63" s="36"/>
      <c r="G63" s="36"/>
      <c r="H63" s="36" t="s">
        <v>59</v>
      </c>
      <c r="I63" s="36" t="s">
        <v>58</v>
      </c>
      <c r="J63" s="40">
        <v>3</v>
      </c>
      <c r="K63" s="1"/>
      <c r="L63"/>
      <c r="M63"/>
      <c r="N63"/>
      <c r="Q63"/>
      <c r="R63"/>
      <c r="S63"/>
      <c r="T63"/>
    </row>
    <row r="64" spans="5:21" ht="15.75" x14ac:dyDescent="0.25">
      <c r="E64" s="36"/>
      <c r="F64" s="36"/>
      <c r="G64" s="36"/>
      <c r="H64" s="36" t="s">
        <v>91</v>
      </c>
      <c r="I64" s="36" t="s">
        <v>90</v>
      </c>
      <c r="J64" s="40">
        <v>2</v>
      </c>
      <c r="K64" s="1"/>
      <c r="L64"/>
      <c r="M64"/>
      <c r="N64"/>
      <c r="Q64"/>
      <c r="R64"/>
      <c r="S64"/>
      <c r="T64"/>
    </row>
    <row r="65" spans="5:20" ht="15.75" x14ac:dyDescent="0.25">
      <c r="E65" s="36"/>
      <c r="F65" s="36"/>
      <c r="G65" s="36"/>
      <c r="H65" s="36" t="s">
        <v>61</v>
      </c>
      <c r="I65" s="36" t="s">
        <v>60</v>
      </c>
      <c r="J65" s="40">
        <v>2</v>
      </c>
      <c r="K65" s="1"/>
      <c r="L65"/>
      <c r="M65"/>
      <c r="N65"/>
      <c r="Q65"/>
      <c r="R65"/>
      <c r="S65"/>
      <c r="T65"/>
    </row>
    <row r="66" spans="5:20" ht="15.75" x14ac:dyDescent="0.25">
      <c r="E66" s="36"/>
      <c r="F66" s="36"/>
      <c r="G66" s="36"/>
      <c r="H66" s="36" t="s">
        <v>63</v>
      </c>
      <c r="I66" s="36" t="s">
        <v>62</v>
      </c>
      <c r="J66" s="40">
        <v>2</v>
      </c>
      <c r="K66" s="1"/>
      <c r="L66"/>
      <c r="M66"/>
      <c r="N66"/>
      <c r="Q66"/>
      <c r="R66"/>
      <c r="S66"/>
      <c r="T66"/>
    </row>
    <row r="67" spans="5:20" ht="15.75" x14ac:dyDescent="0.25">
      <c r="E67" s="36"/>
      <c r="F67" s="36"/>
      <c r="G67" s="36" t="s">
        <v>173</v>
      </c>
      <c r="H67" s="36" t="s">
        <v>65</v>
      </c>
      <c r="I67" s="36" t="s">
        <v>64</v>
      </c>
      <c r="J67" s="40">
        <v>1</v>
      </c>
      <c r="K67" s="1"/>
      <c r="L67"/>
      <c r="M67"/>
      <c r="N67"/>
      <c r="Q67"/>
      <c r="R67"/>
      <c r="S67"/>
      <c r="T67"/>
    </row>
    <row r="68" spans="5:20" x14ac:dyDescent="0.3">
      <c r="E68" s="36"/>
      <c r="F68" s="36"/>
      <c r="G68" s="36"/>
      <c r="H68" s="36" t="s">
        <v>77</v>
      </c>
      <c r="I68" s="36" t="s">
        <v>76</v>
      </c>
      <c r="J68" s="40">
        <v>2</v>
      </c>
      <c r="Q68"/>
      <c r="R68"/>
      <c r="S68"/>
      <c r="T68"/>
    </row>
    <row r="69" spans="5:20" x14ac:dyDescent="0.3">
      <c r="E69" s="36"/>
      <c r="F69" s="39">
        <v>46321</v>
      </c>
      <c r="G69" s="36" t="s">
        <v>244</v>
      </c>
      <c r="H69" s="36" t="s">
        <v>140</v>
      </c>
      <c r="I69" s="36" t="s">
        <v>139</v>
      </c>
      <c r="J69" s="40">
        <v>1</v>
      </c>
      <c r="Q69"/>
      <c r="R69"/>
      <c r="S69"/>
      <c r="T69"/>
    </row>
    <row r="70" spans="5:20" x14ac:dyDescent="0.3">
      <c r="E70" s="36"/>
      <c r="F70" s="39">
        <v>46323</v>
      </c>
      <c r="G70" s="36" t="s">
        <v>23</v>
      </c>
      <c r="H70" s="36" t="s">
        <v>38</v>
      </c>
      <c r="I70" s="36" t="s">
        <v>37</v>
      </c>
      <c r="J70" s="40">
        <v>2</v>
      </c>
      <c r="Q70"/>
      <c r="R70"/>
      <c r="S70"/>
      <c r="T70"/>
    </row>
    <row r="71" spans="5:20" x14ac:dyDescent="0.3">
      <c r="E71" s="36"/>
      <c r="F71" s="36"/>
      <c r="G71" s="36"/>
      <c r="H71" s="36" t="s">
        <v>247</v>
      </c>
      <c r="I71" s="36" t="s">
        <v>246</v>
      </c>
      <c r="J71" s="40">
        <v>1</v>
      </c>
      <c r="Q71"/>
      <c r="R71"/>
      <c r="S71"/>
      <c r="T71"/>
    </row>
    <row r="72" spans="5:20" x14ac:dyDescent="0.3">
      <c r="E72" s="36"/>
      <c r="F72" s="36"/>
      <c r="G72" s="36"/>
      <c r="H72" s="36" t="s">
        <v>249</v>
      </c>
      <c r="I72" s="36" t="s">
        <v>248</v>
      </c>
      <c r="J72" s="40">
        <v>2</v>
      </c>
      <c r="Q72"/>
      <c r="R72"/>
      <c r="S72"/>
      <c r="T72"/>
    </row>
    <row r="73" spans="5:20" x14ac:dyDescent="0.3">
      <c r="E73" s="36"/>
      <c r="F73" s="36"/>
      <c r="G73" s="36"/>
      <c r="H73" s="36" t="s">
        <v>251</v>
      </c>
      <c r="I73" s="36" t="s">
        <v>250</v>
      </c>
      <c r="J73" s="40">
        <v>1</v>
      </c>
      <c r="Q73"/>
      <c r="R73"/>
      <c r="S73"/>
      <c r="T73"/>
    </row>
    <row r="74" spans="5:20" x14ac:dyDescent="0.3">
      <c r="E74" s="36"/>
      <c r="F74" s="36"/>
      <c r="G74" s="36"/>
      <c r="H74" s="36" t="s">
        <v>253</v>
      </c>
      <c r="I74" s="36" t="s">
        <v>252</v>
      </c>
      <c r="J74" s="40">
        <v>1</v>
      </c>
      <c r="Q74"/>
      <c r="R74"/>
      <c r="S74"/>
      <c r="T74"/>
    </row>
    <row r="75" spans="5:20" x14ac:dyDescent="0.3">
      <c r="E75" s="36"/>
      <c r="F75" s="36"/>
      <c r="G75" s="36"/>
      <c r="H75" s="36" t="s">
        <v>255</v>
      </c>
      <c r="I75" s="36" t="s">
        <v>254</v>
      </c>
      <c r="J75" s="40">
        <v>1</v>
      </c>
      <c r="Q75"/>
      <c r="R75"/>
      <c r="S75"/>
      <c r="T75"/>
    </row>
    <row r="76" spans="5:20" x14ac:dyDescent="0.3">
      <c r="E76" s="36"/>
      <c r="F76" s="39">
        <v>46325</v>
      </c>
      <c r="G76" s="36" t="s">
        <v>23</v>
      </c>
      <c r="H76" s="36" t="s">
        <v>57</v>
      </c>
      <c r="I76" s="36" t="s">
        <v>56</v>
      </c>
      <c r="J76" s="40">
        <v>1</v>
      </c>
      <c r="Q76"/>
      <c r="R76"/>
      <c r="S76"/>
      <c r="T76"/>
    </row>
    <row r="77" spans="5:20" x14ac:dyDescent="0.3">
      <c r="E77" s="36"/>
      <c r="F77" s="36"/>
      <c r="G77" s="36" t="s">
        <v>209</v>
      </c>
      <c r="H77" s="36" t="s">
        <v>38</v>
      </c>
      <c r="I77" s="36" t="s">
        <v>37</v>
      </c>
      <c r="J77" s="40">
        <v>6</v>
      </c>
      <c r="Q77"/>
      <c r="R77"/>
      <c r="S77"/>
      <c r="T77"/>
    </row>
    <row r="78" spans="5:20" x14ac:dyDescent="0.3">
      <c r="E78" s="36"/>
      <c r="F78" s="36"/>
      <c r="G78" s="36"/>
      <c r="H78" s="36" t="s">
        <v>31</v>
      </c>
      <c r="I78" s="36" t="s">
        <v>30</v>
      </c>
      <c r="J78" s="40">
        <v>6</v>
      </c>
    </row>
    <row r="79" spans="5:20" x14ac:dyDescent="0.3">
      <c r="E79" s="36"/>
      <c r="F79" s="36"/>
      <c r="G79" s="36"/>
      <c r="H79" s="36" t="s">
        <v>138</v>
      </c>
      <c r="I79" s="36" t="s">
        <v>137</v>
      </c>
      <c r="J79" s="40">
        <v>6</v>
      </c>
    </row>
    <row r="80" spans="5:20" x14ac:dyDescent="0.3">
      <c r="E80" s="36"/>
      <c r="F80" s="36"/>
      <c r="G80" s="36"/>
      <c r="H80" s="36" t="s">
        <v>136</v>
      </c>
      <c r="I80" s="36" t="s">
        <v>135</v>
      </c>
      <c r="J80" s="40">
        <v>1</v>
      </c>
    </row>
    <row r="81" spans="5:10" x14ac:dyDescent="0.3">
      <c r="E81" s="36"/>
      <c r="F81" s="36"/>
      <c r="G81" s="36"/>
      <c r="H81" s="36" t="s">
        <v>234</v>
      </c>
      <c r="I81" s="36" t="s">
        <v>233</v>
      </c>
      <c r="J81" s="40">
        <v>7</v>
      </c>
    </row>
    <row r="82" spans="5:10" x14ac:dyDescent="0.3">
      <c r="E82" s="36"/>
      <c r="F82" s="36"/>
      <c r="G82" s="36"/>
      <c r="H82" s="36" t="s">
        <v>236</v>
      </c>
      <c r="I82" s="36" t="s">
        <v>235</v>
      </c>
      <c r="J82" s="40">
        <v>1</v>
      </c>
    </row>
    <row r="83" spans="5:10" x14ac:dyDescent="0.3">
      <c r="E83" s="36"/>
      <c r="F83" s="36"/>
      <c r="G83" s="36" t="s">
        <v>259</v>
      </c>
      <c r="H83" s="36" t="s">
        <v>116</v>
      </c>
      <c r="I83" s="36" t="s">
        <v>115</v>
      </c>
      <c r="J83" s="40">
        <v>1</v>
      </c>
    </row>
    <row r="84" spans="5:10" x14ac:dyDescent="0.3">
      <c r="E84" s="36"/>
      <c r="F84" s="36"/>
      <c r="G84" s="36"/>
      <c r="H84" s="36" t="s">
        <v>261</v>
      </c>
      <c r="I84" s="36" t="s">
        <v>260</v>
      </c>
      <c r="J84" s="40">
        <v>1</v>
      </c>
    </row>
    <row r="85" spans="5:10" x14ac:dyDescent="0.3">
      <c r="E85" s="36"/>
      <c r="F85" s="36"/>
      <c r="G85" s="36"/>
      <c r="H85" s="36" t="s">
        <v>263</v>
      </c>
      <c r="I85" s="36" t="s">
        <v>262</v>
      </c>
      <c r="J85" s="40">
        <v>1</v>
      </c>
    </row>
    <row r="86" spans="5:10" x14ac:dyDescent="0.3">
      <c r="E86" s="36" t="s">
        <v>19</v>
      </c>
      <c r="F86" s="36"/>
      <c r="G86" s="36"/>
      <c r="H86" s="36"/>
      <c r="I86" s="36"/>
      <c r="J86" s="40">
        <v>187</v>
      </c>
    </row>
  </sheetData>
  <mergeCells count="3">
    <mergeCell ref="E2:I3"/>
    <mergeCell ref="K2:O3"/>
    <mergeCell ref="Q2:U3"/>
  </mergeCells>
  <pageMargins left="0.25" right="0.25" top="0.75" bottom="0.75" header="0.3" footer="0.3"/>
  <pageSetup paperSize="9" fitToWidth="0" fitToHeight="0" orientation="landscape"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1839d32-514f-4036-a378-080f2dc1e8ab">
      <Terms xmlns="http://schemas.microsoft.com/office/infopath/2007/PartnerControls"/>
    </lcf76f155ced4ddcb4097134ff3c332f>
    <TaxCatchAll xmlns="becf7b9c-5297-4c27-8b15-81f97c8bf2a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A59539AAAFA45441B1548799BBDC6156" ma:contentTypeVersion="16" ma:contentTypeDescription="Ustvari nov dokument." ma:contentTypeScope="" ma:versionID="88c01a0d5e8fcdd8659292e6ccda4930">
  <xsd:schema xmlns:xsd="http://www.w3.org/2001/XMLSchema" xmlns:xs="http://www.w3.org/2001/XMLSchema" xmlns:p="http://schemas.microsoft.com/office/2006/metadata/properties" xmlns:ns2="becf7b9c-5297-4c27-8b15-81f97c8bf2ae" xmlns:ns3="31839d32-514f-4036-a378-080f2dc1e8ab" targetNamespace="http://schemas.microsoft.com/office/2006/metadata/properties" ma:root="true" ma:fieldsID="ec8a4f671cf5c2381bab6ce819364d86" ns2:_="" ns3:_="">
    <xsd:import namespace="becf7b9c-5297-4c27-8b15-81f97c8bf2ae"/>
    <xsd:import namespace="31839d32-514f-4036-a378-080f2dc1e8a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element ref="ns3:lcf76f155ced4ddcb4097134ff3c332f" minOccurs="0"/>
                <xsd:element ref="ns2:TaxCatchAll"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cf7b9c-5297-4c27-8b15-81f97c8bf2ae" elementFormDefault="qualified">
    <xsd:import namespace="http://schemas.microsoft.com/office/2006/documentManagement/types"/>
    <xsd:import namespace="http://schemas.microsoft.com/office/infopath/2007/PartnerControls"/>
    <xsd:element name="SharedWithUsers" ma:index="8" nillable="true" ma:displayName="V skupni rabi z"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V skupni rabi s podrobnostmi" ma:internalName="SharedWithDetails" ma:readOnly="true">
      <xsd:simpleType>
        <xsd:restriction base="dms:Note">
          <xsd:maxLength value="255"/>
        </xsd:restriction>
      </xsd:simpleType>
    </xsd:element>
    <xsd:element name="TaxCatchAll" ma:index="21" nillable="true" ma:displayName="Taxonomy Catch All Column" ma:hidden="true" ma:list="{b6eb3e93-836e-4f33-8a08-1886d50cc716}" ma:internalName="TaxCatchAll" ma:showField="CatchAllData" ma:web="becf7b9c-5297-4c27-8b15-81f97c8bf2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1839d32-514f-4036-a378-080f2dc1e8a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Oznake slike" ma:readOnly="false" ma:fieldId="{5cf76f15-5ced-4ddc-b409-7134ff3c332f}" ma:taxonomyMulti="true" ma:sspId="e7531dcd-a77f-4d71-aa20-3480a8b8463b"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vsebine"/>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C62BF45-44EE-4884-9726-9822E1A97C44}">
  <ds:schemaRefs>
    <ds:schemaRef ds:uri="http://schemas.microsoft.com/office/2006/metadata/properties"/>
    <ds:schemaRef ds:uri="http://schemas.microsoft.com/office/infopath/2007/PartnerControls"/>
    <ds:schemaRef ds:uri="31839d32-514f-4036-a378-080f2dc1e8ab"/>
    <ds:schemaRef ds:uri="becf7b9c-5297-4c27-8b15-81f97c8bf2ae"/>
  </ds:schemaRefs>
</ds:datastoreItem>
</file>

<file path=customXml/itemProps2.xml><?xml version="1.0" encoding="utf-8"?>
<ds:datastoreItem xmlns:ds="http://schemas.openxmlformats.org/officeDocument/2006/customXml" ds:itemID="{C1CEC13F-0150-4F09-9103-FB7CD3E91225}">
  <ds:schemaRefs>
    <ds:schemaRef ds:uri="http://schemas.microsoft.com/sharepoint/v3/contenttype/forms"/>
  </ds:schemaRefs>
</ds:datastoreItem>
</file>

<file path=customXml/itemProps3.xml><?xml version="1.0" encoding="utf-8"?>
<ds:datastoreItem xmlns:ds="http://schemas.openxmlformats.org/officeDocument/2006/customXml" ds:itemID="{B7592749-3C1C-4914-A8FC-1B87CB03E3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cf7b9c-5297-4c27-8b15-81f97c8bf2ae"/>
    <ds:schemaRef ds:uri="31839d32-514f-4036-a378-080f2dc1e8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E6D9121-B9F1-4A3F-86A6-D4130C2BD1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Dnevni-tedenski plan</vt:lpstr>
      <vt:lpstr>Summary</vt:lpstr>
      <vt:lpstr>Breme</vt:lpstr>
      <vt:lpstr>Nastavitve</vt:lpstr>
      <vt:lpstr>Prikazovalne tabele</vt:lpstr>
      <vt:lpstr>Baseurl</vt:lpstr>
      <vt:lpstr>Filepath</vt:lpstr>
      <vt:lpstr>weeks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Facko</dc:creator>
  <cp:lastModifiedBy>Matjaž Mužar</cp:lastModifiedBy>
  <cp:lastPrinted>2026-08-18T04:54:58Z</cp:lastPrinted>
  <dcterms:created xsi:type="dcterms:W3CDTF">2015-06-05T18:17:20Z</dcterms:created>
  <dcterms:modified xsi:type="dcterms:W3CDTF">2026-10-05T06:00:56Z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0x010100A59539AAAFA45441B1548799BBDC6156</vt:lpwstr>
  </property>
  <property fmtid="{D5CDD505-2E9C-101B-9397-08002B2CF9AE}" pid="3" name="MediaServiceImageTags">
    <vt:lpwstr/>
  </property>
</Properties>
</file>